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Total" sheetId="4" r:id="rId7"/>
  </sheets>
  <definedNames/>
  <calcPr/>
  <extLst>
    <ext uri="GoogleSheetsCustomDataVersion2">
      <go:sheetsCustomData xmlns:go="http://customooxmlschemas.google.com/" r:id="rId8" roundtripDataChecksum="k09QHgoTYAY0WVdJLd57AxGpCXlDuPgB0DHJQMMS5yo="/>
    </ext>
  </extLst>
</workbook>
</file>

<file path=xl/sharedStrings.xml><?xml version="1.0" encoding="utf-8"?>
<sst xmlns="http://schemas.openxmlformats.org/spreadsheetml/2006/main" count="628" uniqueCount="177">
  <si>
    <t>Project name:</t>
  </si>
  <si>
    <t>XÂY DỰNG WEBSITE QUẢN LÝ NHÂN SỰ TÍCH HỢP CHẤM CÔNG THEO THỜI GIAN THỰC (GPS TRACKING)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</si>
  <si>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</si>
  <si>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</si>
  <si>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</si>
  <si>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</si>
  <si>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</si>
  <si>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</si>
  <si>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</si>
  <si>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</si>
  <si>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</si>
  <si>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</si>
  <si>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</si>
  <si>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</si>
  <si>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Châu Ngọc Hội</t>
  </si>
  <si>
    <t>Lê Trường Giang</t>
  </si>
  <si>
    <t>Nguyễn Đặng Yến Nhi</t>
  </si>
  <si>
    <t>Trần Trọng Khang</t>
  </si>
  <si>
    <t>Trần Nguyễn Quốc Lĩnh</t>
  </si>
  <si>
    <t>Tổng</t>
  </si>
  <si>
    <t>Sprint</t>
  </si>
  <si>
    <t>Component</t>
  </si>
  <si>
    <t>Task name</t>
  </si>
  <si>
    <t>Responsible Member</t>
  </si>
  <si>
    <t>Họp kế hoạch Sprint 1</t>
  </si>
  <si>
    <t>All team</t>
  </si>
  <si>
    <t>Tạo Sprint Backlog 1</t>
  </si>
  <si>
    <t>Hội</t>
  </si>
  <si>
    <t>Tạo tài liệu kiểm thử cho Sprint 1</t>
  </si>
  <si>
    <t>User interface design</t>
  </si>
  <si>
    <t>Đăng nhập</t>
  </si>
  <si>
    <t>Lĩnh, Giang</t>
  </si>
  <si>
    <t>Đăng xuất</t>
  </si>
  <si>
    <t>Quên mật khẩu</t>
  </si>
  <si>
    <t>Quản lý thông tin cá nhân</t>
  </si>
  <si>
    <t>Nhận thông báo</t>
  </si>
  <si>
    <t>Theo dõi bảng điều khiển</t>
  </si>
  <si>
    <t>Quản lý nhân viên</t>
  </si>
  <si>
    <t>Quản lý tài khoản người dùng</t>
  </si>
  <si>
    <t>Quản lý phòng ban</t>
  </si>
  <si>
    <t>Quản lý chi nhánh</t>
  </si>
  <si>
    <t>Quản lý thông báo</t>
  </si>
  <si>
    <t>Quản lý chức vụ</t>
  </si>
  <si>
    <t>Design test case</t>
  </si>
  <si>
    <t>Nhi</t>
  </si>
  <si>
    <t>Khang</t>
  </si>
  <si>
    <t>Giang</t>
  </si>
  <si>
    <t>Coding</t>
  </si>
  <si>
    <t>Thiết kế Front-end Đăng nhập</t>
  </si>
  <si>
    <t>Hội, Giang</t>
  </si>
  <si>
    <t>Code Front-end Đăng nhập</t>
  </si>
  <si>
    <t>Code Back-end Đăng nhập</t>
  </si>
  <si>
    <t>Khang, Lĩnh</t>
  </si>
  <si>
    <t>Thiết kế Front-end Đăng xuất</t>
  </si>
  <si>
    <t>Code Front-end Đăng xuất</t>
  </si>
  <si>
    <t>Code Back-end Đăng xuất</t>
  </si>
  <si>
    <t>Thiết kế Front-end Quên mật khẩu</t>
  </si>
  <si>
    <t>Code Front-end Quên mật khẩu</t>
  </si>
  <si>
    <t>Code Back-end Quên mật khẩu</t>
  </si>
  <si>
    <t>Thiết kế Front-end Quản lý thông tin cá nhân</t>
  </si>
  <si>
    <t>Code Front-end Quản lý thông tin cá nhân</t>
  </si>
  <si>
    <t>Code Back-end Quản lý thông tin cá nhân</t>
  </si>
  <si>
    <t>Thiết kế Front-end Nhận thông báo</t>
  </si>
  <si>
    <t>Code Front-end Nhận thông báo</t>
  </si>
  <si>
    <t>Code Back-end Nhận thông báo</t>
  </si>
  <si>
    <t>Thiết kế Front-end Theo dõi bảng điều khiển</t>
  </si>
  <si>
    <t>Code Front-end Theo dõi bảng điều khiển</t>
  </si>
  <si>
    <t>Code Back-end Theo dõi bảng điều khiển</t>
  </si>
  <si>
    <t>Thiết kế Front-end Quản lý nhân viên</t>
  </si>
  <si>
    <t>Code Front-end Quản lý nhân viên</t>
  </si>
  <si>
    <t>Code Back-end Quản lý nhân viên</t>
  </si>
  <si>
    <t>Thiết kế Front-end Quản lý tài khoản người dùng</t>
  </si>
  <si>
    <t>Code Front-end Quản lý tài khoản người dùng</t>
  </si>
  <si>
    <t>Code Back-end Quản lý tài khoản người dùng</t>
  </si>
  <si>
    <t>Thiết kế Front-end Quản lý phòng ban</t>
  </si>
  <si>
    <t>Code Front-end Quản lý phòng ban</t>
  </si>
  <si>
    <t>Code Back-end Quản lý phòng ban</t>
  </si>
  <si>
    <t>Thiết kế Front-end Quản lý chi nhánh</t>
  </si>
  <si>
    <t>Code Front-end Quản lý chi nhánh</t>
  </si>
  <si>
    <t>Code Back-end Quản lý chi nhánh</t>
  </si>
  <si>
    <t>Thiết kế Front-end Quản lý thông báo</t>
  </si>
  <si>
    <t>Code Front-end Quản lý thông báo</t>
  </si>
  <si>
    <t>Code Back-end Quản lý thông báo</t>
  </si>
  <si>
    <t>Thiết kế Front-end Quản lý chức vụ</t>
  </si>
  <si>
    <t>Code Front-end Quản lý chức vụ</t>
  </si>
  <si>
    <t>Code Back-end Quản lý chức vụ</t>
  </si>
  <si>
    <t>Testing</t>
  </si>
  <si>
    <t>Kiểm tra Đăng nhập</t>
  </si>
  <si>
    <t>Kiểm tra Đăng xuất</t>
  </si>
  <si>
    <t>Kiểm tra Quên mật khẩu</t>
  </si>
  <si>
    <t>Kiểm tra Quản lý thông tin cá nhân</t>
  </si>
  <si>
    <t>Kiểm tra Nhận thông báo</t>
  </si>
  <si>
    <t>Kiểm tra Theo dõi bảng điều khiển</t>
  </si>
  <si>
    <t>Kiểm tra Quản lý nhân viên</t>
  </si>
  <si>
    <t>Kiểm tra Quản lý tài khoản người dùng</t>
  </si>
  <si>
    <t>Kiểm tra Quản lý phòng ban</t>
  </si>
  <si>
    <t>Kiểm tra Quản lý chi nhánh</t>
  </si>
  <si>
    <t>Kiểm tra Quản lý thông báo</t>
  </si>
  <si>
    <t>Kiểm tra Quản lý chức vụ</t>
  </si>
  <si>
    <t>Fix Bug</t>
  </si>
  <si>
    <t>Sửa lỗi Đăng nhập</t>
  </si>
  <si>
    <t>Sửa lỗi Đăng xuất</t>
  </si>
  <si>
    <t>Sửa lỗi Quên mật khẩu</t>
  </si>
  <si>
    <t>Sửa lỗi Quản lý thông tin cá nhân</t>
  </si>
  <si>
    <t>Lĩnh</t>
  </si>
  <si>
    <t>Sửa lỗi Nhận thông báo</t>
  </si>
  <si>
    <t>Sửa lỗi Theo dõi bảng điều khiển</t>
  </si>
  <si>
    <t>Sửa lỗi Quản lý nhân viên</t>
  </si>
  <si>
    <t>Sửa lỗi Quản lý tài khoản người dùng</t>
  </si>
  <si>
    <t>Sửa lỗi Quản lý phòng ban</t>
  </si>
  <si>
    <t>Sửa lỗi Quản lý chi nhánh</t>
  </si>
  <si>
    <t>Sửa lỗi Quản lý thông báo</t>
  </si>
  <si>
    <t>Sửa lỗi Quản lý chức vụ</t>
  </si>
  <si>
    <t>Re-testing</t>
  </si>
  <si>
    <t>Kiểm tra lại Đăng nhập</t>
  </si>
  <si>
    <t>Kiểm tra lại Đăng xuất</t>
  </si>
  <si>
    <t>Kiểm tra lại Quên mật khẩu</t>
  </si>
  <si>
    <t>Kiểm tra lại Quản lý thông tin cá nhân</t>
  </si>
  <si>
    <t>Kiểm tra lại Nhận thông báo</t>
  </si>
  <si>
    <t>Kiểm tra lại Theo dõi bảng điều khiển</t>
  </si>
  <si>
    <t>Kiểm tra lại Quản lý nhân viên</t>
  </si>
  <si>
    <t>Kiểm tra lại Quản lý tài khoản người dùng</t>
  </si>
  <si>
    <t>Kiểm tra lại Quản lý phòng ban</t>
  </si>
  <si>
    <t>Kiểm tra lại Quản lý chi nhánh</t>
  </si>
  <si>
    <t>Kiểm tra lại Quản lý thông báo</t>
  </si>
  <si>
    <t>Kiểm tra lại Quản lý chức vụ</t>
  </si>
  <si>
    <t>Release Sprint 1</t>
  </si>
  <si>
    <t>Sprint 1 Review Meeting</t>
  </si>
  <si>
    <t>Sprint 1 Retrospective</t>
  </si>
  <si>
    <t>Thực Tế</t>
  </si>
  <si>
    <t>Ước Tính</t>
  </si>
  <si>
    <t>Sprint 2</t>
  </si>
  <si>
    <t>Họp kế hoạch Sprint 2</t>
  </si>
  <si>
    <t>Tạo Sprint Backlog 2</t>
  </si>
  <si>
    <t>Tạo tài liệu kiểm thử cho Sprint 2</t>
  </si>
  <si>
    <t>Check-in chấm công</t>
  </si>
  <si>
    <t>Check-out chấm công</t>
  </si>
  <si>
    <t>Xem lịch sử chấm công</t>
  </si>
  <si>
    <t>Cài đặt khu vực chấm công</t>
  </si>
  <si>
    <t>Giám sát chấm công</t>
  </si>
  <si>
    <t>Thiết kế Front-end Check-in chấm công</t>
  </si>
  <si>
    <t>Code Front-end Check-in chấm công</t>
  </si>
  <si>
    <t>Code Back-end Check-in chấm công</t>
  </si>
  <si>
    <t>Thiết kế Front-end Check-out chấm công</t>
  </si>
  <si>
    <t>Code Front-end Check-out chấm công</t>
  </si>
  <si>
    <t>Code Back-end Check-out chấm công</t>
  </si>
  <si>
    <t>Thiết kế Front-end Xem lịch sử chấm công</t>
  </si>
  <si>
    <t>Code Front-end Xem lịch sử chấm công</t>
  </si>
  <si>
    <t>Code Back-end Xem lịch sử chấm công</t>
  </si>
  <si>
    <t>Thiết kế Front-end Cài đặt khu vực chấm công</t>
  </si>
  <si>
    <t>Code Front-end Cài đặt khu vực chấm công</t>
  </si>
  <si>
    <t>Code Back-end Cài đặt khu vực chấm công</t>
  </si>
  <si>
    <t>Thiết kế Front-end Giám sát chấm công</t>
  </si>
  <si>
    <t>Code Front-end Giám sát chấm công</t>
  </si>
  <si>
    <t>Code Back-end Giám sát chấm công</t>
  </si>
  <si>
    <t>Kiểm tra Check-in chấm công</t>
  </si>
  <si>
    <t>Kiểm tra Check-out chấm công</t>
  </si>
  <si>
    <t>Kiểm tra Xem lịch sử chấm công</t>
  </si>
  <si>
    <t>Kiểm tra Cài đặt khu vực chấm công</t>
  </si>
  <si>
    <t>Kiểm tra Giám sát chấm công</t>
  </si>
  <si>
    <t>Sửa lỗi Check-in chấm công</t>
  </si>
  <si>
    <t>Hội, Khang, Lĩnh, Giang</t>
  </si>
  <si>
    <t>Sửa lỗi Check-out chấm công</t>
  </si>
  <si>
    <t>Sửa lỗi Xem lịch sử chấm công</t>
  </si>
  <si>
    <t>Sửa lỗi Cài đặt khu vực chấm công</t>
  </si>
  <si>
    <t>Sửa lỗi Giám sát chấm công</t>
  </si>
  <si>
    <t>Kiểm tra lại Check-in chấm công</t>
  </si>
  <si>
    <t>Kiểm tra lại Check-out chấm công</t>
  </si>
  <si>
    <t>Kiểm tra lại Xem lịch sử chấm công</t>
  </si>
  <si>
    <t>Kiểm tra lại Cài đặt khu vực chấm công</t>
  </si>
  <si>
    <t>Kiểm tra lại Giám sát chấm công</t>
  </si>
  <si>
    <t>Release Sprint 2</t>
  </si>
  <si>
    <t>Sprint 2 Review Meeting</t>
  </si>
  <si>
    <t>Sprint 2 Retrospective</t>
  </si>
  <si>
    <t>SPRINT BACKLOG REPORT</t>
  </si>
  <si>
    <t>Sprint 3</t>
  </si>
  <si>
    <t>FINAL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</si>
</sst>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1" numFmtId="0" xfId="0" applyAlignment="1" applyBorder="1" applyFont="1">
      <alignment shrinkToFit="0" wrapText="1"/>
    </xf>
    <xf borderId="0" fillId="0" fontId="3" numFmtId="0" xfId="0" applyFont="1"/>
    <xf borderId="4" fillId="2" fontId="3" numFmtId="0" xfId="0" applyBorder="1" applyFill="1" applyFont="1"/>
    <xf borderId="5" fillId="0" fontId="3" numFmtId="0" xfId="0" applyAlignment="1" applyBorder="1" applyFont="1">
      <alignment horizontal="left" vertical="center"/>
    </xf>
    <xf borderId="3" fillId="0" fontId="3" numFmtId="0" xfId="0" applyBorder="1" applyFont="1"/>
    <xf borderId="6" fillId="3" fontId="3" numFmtId="0" xfId="0" applyBorder="1" applyFill="1" applyFont="1"/>
    <xf borderId="7" fillId="0" fontId="3" numFmtId="0" xfId="0" applyAlignment="1" applyBorder="1" applyFont="1">
      <alignment horizontal="left" shrinkToFit="0" vertical="center" wrapText="1"/>
    </xf>
    <xf borderId="3" fillId="0" fontId="3" numFmtId="14" xfId="0" applyAlignment="1" applyBorder="1" applyFont="1" applyNumberFormat="1">
      <alignment horizontal="left"/>
    </xf>
    <xf borderId="8" fillId="4" fontId="3" numFmtId="0" xfId="0" applyBorder="1" applyFill="1" applyFont="1"/>
    <xf borderId="9" fillId="0" fontId="3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/>
    </xf>
    <xf borderId="10" fillId="0" fontId="2" numFmtId="0" xfId="0" applyBorder="1" applyFont="1"/>
    <xf borderId="3" fillId="6" fontId="1" numFmtId="0" xfId="0" applyAlignment="1" applyBorder="1" applyFill="1" applyFont="1">
      <alignment horizontal="center"/>
    </xf>
    <xf borderId="3" fillId="0" fontId="3" numFmtId="0" xfId="0" applyAlignment="1" applyBorder="1" applyFont="1">
      <alignment horizontal="center"/>
    </xf>
    <xf borderId="3" fillId="5" fontId="1" numFmtId="0" xfId="0" applyBorder="1" applyFont="1"/>
    <xf borderId="11" fillId="5" fontId="1" numFmtId="0" xfId="0" applyBorder="1" applyFont="1"/>
    <xf borderId="12" fillId="5" fontId="1" numFmtId="0" xfId="0" applyAlignment="1" applyBorder="1" applyFont="1">
      <alignment horizontal="left"/>
    </xf>
    <xf borderId="13" fillId="0" fontId="2" numFmtId="0" xfId="0" applyBorder="1" applyFont="1"/>
    <xf borderId="12" fillId="5" fontId="1" numFmtId="0" xfId="0" applyAlignment="1" applyBorder="1" applyFont="1">
      <alignment horizontal="center"/>
    </xf>
    <xf borderId="11" fillId="0" fontId="1" numFmtId="0" xfId="0" applyAlignment="1" applyBorder="1" applyFont="1">
      <alignment shrinkToFit="0" textRotation="90" wrapText="1"/>
    </xf>
    <xf borderId="11" fillId="0" fontId="1" numFmtId="164" xfId="0" applyAlignment="1" applyBorder="1" applyFont="1" applyNumberFormat="1">
      <alignment shrinkToFit="0" textRotation="90" wrapText="1"/>
    </xf>
    <xf borderId="0" fillId="0" fontId="1" numFmtId="164" xfId="0" applyAlignment="1" applyFont="1" applyNumberFormat="1">
      <alignment shrinkToFit="0" textRotation="90" wrapText="1"/>
    </xf>
    <xf borderId="14" fillId="0" fontId="3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5" fillId="0" fontId="2" numFmtId="0" xfId="0" applyBorder="1" applyFont="1"/>
    <xf borderId="12" fillId="0" fontId="3" numFmtId="0" xfId="0" applyAlignment="1" applyBorder="1" applyFont="1">
      <alignment horizontal="center"/>
    </xf>
    <xf borderId="11" fillId="0" fontId="3" numFmtId="0" xfId="0" applyBorder="1" applyFont="1"/>
    <xf borderId="16" fillId="0" fontId="2" numFmtId="0" xfId="0" applyBorder="1" applyFont="1"/>
    <xf borderId="17" fillId="4" fontId="3" numFmtId="0" xfId="0" applyBorder="1" applyFont="1"/>
    <xf borderId="18" fillId="0" fontId="3" numFmtId="0" xfId="0" applyAlignment="1" applyBorder="1" applyFont="1">
      <alignment horizontal="center" shrinkToFit="0" vertical="center" wrapText="1"/>
    </xf>
    <xf borderId="11" fillId="2" fontId="3" numFmtId="0" xfId="0" applyBorder="1" applyFont="1"/>
    <xf borderId="19" fillId="0" fontId="2" numFmtId="0" xfId="0" applyBorder="1" applyFont="1"/>
    <xf borderId="11" fillId="3" fontId="3" numFmtId="0" xfId="0" applyBorder="1" applyFont="1"/>
    <xf borderId="20" fillId="0" fontId="2" numFmtId="0" xfId="0" applyBorder="1" applyFont="1"/>
    <xf borderId="11" fillId="4" fontId="3" numFmtId="0" xfId="0" applyBorder="1" applyFont="1"/>
    <xf borderId="11" fillId="7" fontId="3" numFmtId="0" xfId="0" applyBorder="1" applyFill="1" applyFont="1"/>
    <xf borderId="12" fillId="0" fontId="3" numFmtId="0" xfId="0" applyAlignment="1" applyBorder="1" applyFont="1">
      <alignment readingOrder="0"/>
    </xf>
    <xf borderId="12" fillId="0" fontId="3" numFmtId="0" xfId="0" applyAlignment="1" applyBorder="1" applyFont="1">
      <alignment vertical="center"/>
    </xf>
    <xf borderId="18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/>
    </xf>
    <xf borderId="21" fillId="5" fontId="1" numFmtId="0" xfId="0" applyAlignment="1" applyBorder="1" applyFont="1">
      <alignment horizontal="center" vertical="center"/>
    </xf>
    <xf borderId="22" fillId="0" fontId="2" numFmtId="0" xfId="0" applyBorder="1" applyFont="1"/>
    <xf borderId="14" fillId="0" fontId="2" numFmtId="0" xfId="0" applyBorder="1" applyFont="1"/>
    <xf borderId="12" fillId="0" fontId="1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8" fillId="0" fontId="1" numFmtId="164" xfId="0" applyAlignment="1" applyBorder="1" applyFont="1" applyNumberFormat="1">
      <alignment shrinkToFit="0" textRotation="90" wrapText="1"/>
    </xf>
    <xf borderId="11" fillId="0" fontId="4" numFmtId="0" xfId="0" applyAlignment="1" applyBorder="1" applyFont="1">
      <alignment horizontal="center" shrinkToFit="0" vertical="center" wrapText="1"/>
    </xf>
    <xf borderId="26" fillId="2" fontId="3" numFmtId="0" xfId="0" applyBorder="1" applyFont="1"/>
    <xf borderId="26" fillId="4" fontId="3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7" fillId="7" fontId="3" numFmtId="0" xfId="0" applyBorder="1" applyFont="1"/>
    <xf borderId="23" fillId="0" fontId="3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Font="1"/>
    <xf borderId="28" fillId="8" fontId="1" numFmtId="0" xfId="0" applyAlignment="1" applyBorder="1" applyFill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31" fillId="8" fontId="3" numFmtId="0" xfId="0" applyAlignment="1" applyBorder="1" applyFont="1">
      <alignment horizontal="center"/>
    </xf>
    <xf borderId="12" fillId="8" fontId="1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11" fillId="8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center" vertical="center"/>
    </xf>
    <xf borderId="8" fillId="9" fontId="1" numFmtId="0" xfId="0" applyAlignment="1" applyBorder="1" applyFill="1" applyFont="1">
      <alignment horizontal="left" vertical="center"/>
    </xf>
    <xf borderId="34" fillId="9" fontId="1" numFmtId="0" xfId="0" applyAlignment="1" applyBorder="1" applyFont="1">
      <alignment horizontal="center" vertical="center"/>
    </xf>
    <xf borderId="28" fillId="8" fontId="3" numFmtId="0" xfId="0" applyAlignment="1" applyBorder="1" applyFont="1">
      <alignment horizontal="center"/>
    </xf>
    <xf borderId="6" fillId="9" fontId="3" numFmtId="0" xfId="0" applyBorder="1" applyFont="1"/>
    <xf borderId="7" fillId="0" fontId="3" numFmtId="0" xfId="0" applyBorder="1" applyFont="1"/>
    <xf borderId="8" fillId="9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1'!$I$15:$X$15</c:f>
            </c:strRef>
          </c:cat>
          <c:val>
            <c:numRef>
              <c:f>'Sprint 1'!$I$124:$X$124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1'!$I$15:$X$15</c:f>
            </c:strRef>
          </c:cat>
          <c:val>
            <c:numRef>
              <c:f>'Sprint 1'!$I$125:$X$125</c:f>
              <c:numCache/>
            </c:numRef>
          </c:val>
          <c:smooth val="0"/>
        </c:ser>
        <c:axId val="1154801927"/>
        <c:axId val="1886758791"/>
      </c:lineChart>
      <c:catAx>
        <c:axId val="1154801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6758791"/>
      </c:catAx>
      <c:valAx>
        <c:axId val="188675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480192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2'!$I$15:$W$15</c:f>
            </c:strRef>
          </c:cat>
          <c:val>
            <c:numRef>
              <c:f>'Sprint 2'!$I$93:$W$93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2'!$I$15:$W$15</c:f>
            </c:strRef>
          </c:cat>
          <c:val>
            <c:numRef>
              <c:f>'Sprint 2'!$I$94:$W$94</c:f>
              <c:numCache/>
            </c:numRef>
          </c:val>
          <c:smooth val="0"/>
        </c:ser>
        <c:axId val="72118791"/>
        <c:axId val="982792696"/>
      </c:lineChart>
      <c:catAx>
        <c:axId val="72118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2792696"/>
      </c:catAx>
      <c:valAx>
        <c:axId val="982792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11879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3'!$I$15:$X$15</c:f>
            </c:strRef>
          </c:cat>
          <c:val>
            <c:numRef>
              <c:f>'Sprint 3'!$I$124:$X$124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3'!$I$15:$X$15</c:f>
            </c:strRef>
          </c:cat>
          <c:val>
            <c:numRef>
              <c:f>'Sprint 3'!$I$125:$X$125</c:f>
              <c:numCache/>
            </c:numRef>
          </c:val>
          <c:smooth val="0"/>
        </c:ser>
        <c:axId val="101431826"/>
        <c:axId val="1538071956"/>
      </c:lineChart>
      <c:catAx>
        <c:axId val="101431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8071956"/>
      </c:catAx>
      <c:valAx>
        <c:axId val="1538071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43182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276225</xdr:colOff>
      <xdr:row>16</xdr:row>
      <xdr:rowOff>85725</xdr:rowOff>
    </xdr:from>
    <xdr:ext cx="7200900" cy="5172075"/>
    <xdr:graphicFrame>
      <xdr:nvGraphicFramePr>
        <xdr:cNvPr id="11678692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276225</xdr:colOff>
      <xdr:row>17</xdr:row>
      <xdr:rowOff>85725</xdr:rowOff>
    </xdr:from>
    <xdr:ext cx="7200900" cy="10201275"/>
    <xdr:graphicFrame>
      <xdr:nvGraphicFramePr>
        <xdr:cNvPr id="105118897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276225</xdr:colOff>
      <xdr:row>16</xdr:row>
      <xdr:rowOff>85725</xdr:rowOff>
    </xdr:from>
    <xdr:ext cx="7200900" cy="5172075"/>
    <xdr:graphicFrame>
      <xdr:nvGraphicFramePr>
        <xdr:cNvPr id="192351128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29"/>
    <col customWidth="1" min="3" max="3" width="55.43"/>
    <col customWidth="1" min="4" max="5" width="11.0"/>
    <col customWidth="1" min="6" max="6" width="20.57"/>
    <col customWidth="1" min="7" max="8" width="6.14"/>
    <col customWidth="1" min="9" max="9" width="6.0"/>
    <col customWidth="1" min="10" max="13" width="6.14"/>
    <col customWidth="1" min="14" max="14" width="6.0"/>
    <col customWidth="1" min="15" max="15" width="6.14"/>
    <col customWidth="1" min="16" max="20" width="6.0"/>
    <col customWidth="1" min="21" max="23" width="6.14"/>
    <col customWidth="1" min="24" max="24" width="6.0"/>
    <col customWidth="1" min="25" max="25" width="6.14"/>
    <col customWidth="1" min="26" max="26" width="6.0"/>
    <col customWidth="1" min="27" max="27" width="5.86"/>
    <col customWidth="1" min="28" max="28" width="6.14"/>
    <col customWidth="1" min="29" max="31" width="6.0"/>
    <col customWidth="1" min="32" max="41" width="9.14"/>
  </cols>
  <sheetData>
    <row r="1" ht="16.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6.5" customHeight="1">
      <c r="A2" s="1" t="s">
        <v>3</v>
      </c>
      <c r="B2" s="2"/>
      <c r="C2" s="7" t="s">
        <v>4</v>
      </c>
      <c r="D2" s="4"/>
      <c r="E2" s="8"/>
      <c r="F2" s="9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6.5" customHeight="1">
      <c r="A3" s="1" t="s">
        <v>6</v>
      </c>
      <c r="B3" s="2"/>
      <c r="C3" s="10">
        <v>46101.0</v>
      </c>
      <c r="D3" s="4"/>
      <c r="E3" s="11"/>
      <c r="F3" s="1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7.25" customHeight="1">
      <c r="A4" s="1" t="s">
        <v>8</v>
      </c>
      <c r="B4" s="2"/>
      <c r="C4" s="10">
        <v>46116.0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5" customHeight="1">
      <c r="A6" s="4"/>
      <c r="B6" s="13" t="s">
        <v>9</v>
      </c>
      <c r="C6" s="14"/>
      <c r="D6" s="14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5" customHeight="1">
      <c r="A7" s="4"/>
      <c r="B7" s="15" t="s">
        <v>10</v>
      </c>
      <c r="C7" s="15" t="s">
        <v>11</v>
      </c>
      <c r="D7" s="15" t="s">
        <v>12</v>
      </c>
      <c r="E7" s="15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5" customHeight="1">
      <c r="A8" s="4"/>
      <c r="B8" s="16">
        <v>1.0</v>
      </c>
      <c r="C8" s="7" t="s">
        <v>14</v>
      </c>
      <c r="D8" s="7">
        <f>SUMIF($E$16:$F$123,"Hội",$G$16:$G$123)+SUMIF($E$16:$F$123,"All team",$G$16:$G$123)/5+SUMIF($E$16:$F$123,"Hội, Giang",$G$16:$G$123)/2</f>
        <v>36.5</v>
      </c>
      <c r="E8" s="7">
        <f>SUMIF($E$16:$F$123,"Hội",$H$16:$H$123)+SUMIF($E$16:$F$123,"All team",$H$16:$H$123)/5+SUMIF($E$16:$F$123,"Hội, Giang",$H$16:$H$123)/2</f>
        <v>43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5" customHeight="1">
      <c r="A9" s="4"/>
      <c r="B9" s="16">
        <v>2.0</v>
      </c>
      <c r="C9" s="7" t="s">
        <v>15</v>
      </c>
      <c r="D9" s="7">
        <f>SUMIF($E$16:$F$123,"Giang",$G$16:$G$123)+SUMIF($E$16:$F$123,"All team",$G$16:$G$123)/5+SUMIF($E$16:$F$123,"Lĩnh, Giang",$G$16:$G$123)/2+SUMIF($E$16:$F$123,"Hội, Giang",$G$16:$G$123)/2</f>
        <v>34.5</v>
      </c>
      <c r="E9" s="7">
        <f>SUMIF($E$16:$F$123,"Giang",$H$16:$H$123)+SUMIF($E$16:$F$123,"All team",$H$16:$H$123)/5+SUMIF($E$16:$F$123,"Lĩnh, Giang",$H$16:$H$123)/2+SUMIF($E$16:$F$123,"Hội, Giang",$H$16:$H$123)/2</f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5" customHeight="1">
      <c r="A10" s="4"/>
      <c r="B10" s="16">
        <v>3.0</v>
      </c>
      <c r="C10" s="7" t="s">
        <v>16</v>
      </c>
      <c r="D10" s="7">
        <f>SUMIF($E$16:$F$123,"Nhi",$G$16:$G$123)+SUMIF($E$16:$F$123,"All team",$G$16:$G$123)/5</f>
        <v>19</v>
      </c>
      <c r="E10" s="7">
        <f>SUMIF($E$16:$F$123,"Nhi",$H$16:$H$123)+SUMIF($E$16:$F$123,"All team",$H$16:$H$123)/5</f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5" customHeight="1">
      <c r="A11" s="4"/>
      <c r="B11" s="16">
        <v>4.0</v>
      </c>
      <c r="C11" s="7" t="s">
        <v>17</v>
      </c>
      <c r="D11" s="7">
        <f>SUMIF($E$16:$F$123,"Khang",$G$16:$G$123)+SUMIF($E$16:$F$123,"All team",$G$16:$G$123)/5+SUMIF($E$16:$F$123,"Khang, Lĩnh",$G$16:$G$123)/2</f>
        <v>29</v>
      </c>
      <c r="E11" s="7">
        <f>SUMIF($E$16:$F$123,"Khang",$H$16:$H$123)+SUMIF($E$16:$F$123,"All team",$H$16:$H$123)/5+SUMIF($E$16:$F$123,"Khang, Lĩnh",$H$16:$H$123)/2</f>
        <v>26.5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5" customHeight="1">
      <c r="A12" s="4"/>
      <c r="B12" s="16">
        <v>5.0</v>
      </c>
      <c r="C12" s="7" t="s">
        <v>18</v>
      </c>
      <c r="D12" s="7">
        <f>SUMIF($E$16:$F$123,"Lĩnh",$G$16:$G$123)+SUMIF($E$16:$F$123,"All team",$G$16:$G$123)/5+SUMIF($E$16:$F$123,"Lĩnh, Giang",$G$16:$G$123)/2+SUMIF($E$16:$F$123,"Khang, Lĩnh",$G$16:$G$123)/2</f>
        <v>30</v>
      </c>
      <c r="E12" s="7">
        <f>SUMIF($E$16:$F$123,"Lĩnh",$H$16:$H$123)+SUMIF($E$16:$F$123,"All team",$H$16:$H$123)/5+SUMIF($E$16:$F$123,"Lĩnh, Giang",$H$16:$H$123)/2+SUMIF($E$16:$F$123,"Khang, Lĩnh",$H$16:$H$123)/2</f>
        <v>26.5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5" customHeight="1">
      <c r="A13" s="4"/>
      <c r="B13" s="13" t="s">
        <v>19</v>
      </c>
      <c r="C13" s="2"/>
      <c r="D13" s="17">
        <f t="shared" ref="D13:E13" si="1">SUM(D8:D12)</f>
        <v>149</v>
      </c>
      <c r="E13" s="17">
        <f t="shared" si="1"/>
        <v>150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62.25" customHeight="1">
      <c r="A15" s="18" t="s">
        <v>20</v>
      </c>
      <c r="B15" s="18" t="s">
        <v>21</v>
      </c>
      <c r="C15" s="19" t="s">
        <v>22</v>
      </c>
      <c r="D15" s="20"/>
      <c r="E15" s="21" t="s">
        <v>23</v>
      </c>
      <c r="F15" s="20"/>
      <c r="G15" s="22" t="s">
        <v>12</v>
      </c>
      <c r="H15" s="22" t="s">
        <v>13</v>
      </c>
      <c r="I15" s="23">
        <v>46101.0</v>
      </c>
      <c r="J15" s="23">
        <v>46102.0</v>
      </c>
      <c r="K15" s="23">
        <v>46103.0</v>
      </c>
      <c r="L15" s="23">
        <v>46104.0</v>
      </c>
      <c r="M15" s="23">
        <v>46105.0</v>
      </c>
      <c r="N15" s="23">
        <v>46106.0</v>
      </c>
      <c r="O15" s="23">
        <v>46107.0</v>
      </c>
      <c r="P15" s="23">
        <v>46108.0</v>
      </c>
      <c r="Q15" s="23">
        <v>46109.0</v>
      </c>
      <c r="R15" s="23">
        <v>46110.0</v>
      </c>
      <c r="S15" s="23">
        <v>46111.0</v>
      </c>
      <c r="T15" s="23">
        <v>46112.0</v>
      </c>
      <c r="U15" s="23">
        <v>46113.0</v>
      </c>
      <c r="V15" s="23">
        <v>46114.0</v>
      </c>
      <c r="W15" s="23">
        <v>46115.0</v>
      </c>
      <c r="X15" s="23">
        <v>46116.0</v>
      </c>
      <c r="Y15" s="24"/>
      <c r="Z15" s="24"/>
      <c r="AA15" s="24"/>
      <c r="AB15" s="24"/>
      <c r="AC15" s="24"/>
      <c r="AD15" s="24"/>
      <c r="AE15" s="24"/>
      <c r="AF15" s="24"/>
      <c r="AG15" s="4"/>
      <c r="AH15" s="4"/>
      <c r="AI15" s="4"/>
      <c r="AJ15" s="4"/>
      <c r="AK15" s="4"/>
      <c r="AL15" s="4"/>
      <c r="AM15" s="4"/>
      <c r="AN15" s="4"/>
      <c r="AO15" s="4"/>
    </row>
    <row r="16" ht="16.5" customHeight="1">
      <c r="A16" s="25" t="s">
        <v>4</v>
      </c>
      <c r="B16" s="26" t="s">
        <v>24</v>
      </c>
      <c r="C16" s="27"/>
      <c r="D16" s="20"/>
      <c r="E16" s="28" t="s">
        <v>25</v>
      </c>
      <c r="F16" s="20"/>
      <c r="G16" s="29">
        <v>1.0</v>
      </c>
      <c r="H16" s="29">
        <v>1.0</v>
      </c>
      <c r="I16" s="29">
        <v>1.0</v>
      </c>
      <c r="J16" s="5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29">
        <v>0.0</v>
      </c>
      <c r="Q16" s="29">
        <v>0.0</v>
      </c>
      <c r="R16" s="29">
        <v>0.0</v>
      </c>
      <c r="S16" s="29">
        <v>0.0</v>
      </c>
      <c r="T16" s="29">
        <v>0.0</v>
      </c>
      <c r="U16" s="29">
        <v>0.0</v>
      </c>
      <c r="V16" s="29">
        <v>0.0</v>
      </c>
      <c r="W16" s="29">
        <v>0.0</v>
      </c>
      <c r="X16" s="29">
        <v>0.0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5" customHeight="1">
      <c r="A17" s="30"/>
      <c r="B17" s="26" t="s">
        <v>26</v>
      </c>
      <c r="C17" s="27"/>
      <c r="D17" s="20"/>
      <c r="E17" s="26" t="s">
        <v>27</v>
      </c>
      <c r="F17" s="20"/>
      <c r="G17" s="29">
        <v>2.0</v>
      </c>
      <c r="H17" s="29">
        <v>2.0</v>
      </c>
      <c r="I17" s="29">
        <v>2.0</v>
      </c>
      <c r="J17" s="5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29">
        <v>0.0</v>
      </c>
      <c r="Q17" s="29">
        <v>0.0</v>
      </c>
      <c r="R17" s="29">
        <v>0.0</v>
      </c>
      <c r="S17" s="29">
        <v>0.0</v>
      </c>
      <c r="T17" s="29">
        <v>0.0</v>
      </c>
      <c r="U17" s="29">
        <v>0.0</v>
      </c>
      <c r="V17" s="29">
        <v>0.0</v>
      </c>
      <c r="W17" s="29">
        <v>0.0</v>
      </c>
      <c r="X17" s="29">
        <v>0.0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6.5" customHeight="1">
      <c r="A18" s="30"/>
      <c r="B18" s="26" t="s">
        <v>28</v>
      </c>
      <c r="C18" s="27"/>
      <c r="D18" s="20"/>
      <c r="E18" s="26" t="s">
        <v>27</v>
      </c>
      <c r="F18" s="20"/>
      <c r="G18" s="29">
        <v>1.0</v>
      </c>
      <c r="H18" s="29">
        <v>4.0</v>
      </c>
      <c r="I18" s="29">
        <v>4.0</v>
      </c>
      <c r="J18" s="5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29">
        <v>0.0</v>
      </c>
      <c r="Q18" s="29">
        <v>0.0</v>
      </c>
      <c r="R18" s="29">
        <v>0.0</v>
      </c>
      <c r="S18" s="29">
        <v>0.0</v>
      </c>
      <c r="T18" s="29">
        <v>0.0</v>
      </c>
      <c r="U18" s="29">
        <v>0.0</v>
      </c>
      <c r="V18" s="29">
        <v>0.0</v>
      </c>
      <c r="W18" s="29">
        <v>0.0</v>
      </c>
      <c r="X18" s="29">
        <v>0.0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6.5" customHeight="1">
      <c r="A19" s="30"/>
      <c r="B19" s="29"/>
      <c r="C19" s="28"/>
      <c r="D19" s="20"/>
      <c r="E19" s="28"/>
      <c r="F19" s="20"/>
      <c r="G19" s="29"/>
      <c r="H19" s="29"/>
      <c r="I19" s="29"/>
      <c r="J19" s="31">
        <v>3.0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6.5" customHeight="1">
      <c r="A20" s="30"/>
      <c r="B20" s="32" t="s">
        <v>29</v>
      </c>
      <c r="C20" s="26" t="s">
        <v>30</v>
      </c>
      <c r="D20" s="20"/>
      <c r="E20" s="26" t="s">
        <v>31</v>
      </c>
      <c r="F20" s="20"/>
      <c r="G20" s="29">
        <v>1.0</v>
      </c>
      <c r="H20" s="29">
        <v>1.0</v>
      </c>
      <c r="I20" s="29">
        <v>1.0</v>
      </c>
      <c r="J20" s="33">
        <v>0.0</v>
      </c>
      <c r="K20" s="29">
        <v>0.0</v>
      </c>
      <c r="L20" s="29">
        <v>0.0</v>
      </c>
      <c r="M20" s="29">
        <v>0.0</v>
      </c>
      <c r="N20" s="29">
        <v>0.0</v>
      </c>
      <c r="O20" s="29">
        <v>0.0</v>
      </c>
      <c r="P20" s="29">
        <v>0.0</v>
      </c>
      <c r="Q20" s="29">
        <v>0.0</v>
      </c>
      <c r="R20" s="29">
        <v>0.0</v>
      </c>
      <c r="S20" s="29">
        <v>0.0</v>
      </c>
      <c r="T20" s="29">
        <v>0.0</v>
      </c>
      <c r="U20" s="29">
        <v>0.0</v>
      </c>
      <c r="V20" s="29">
        <v>0.0</v>
      </c>
      <c r="W20" s="29">
        <v>0.0</v>
      </c>
      <c r="X20" s="29">
        <v>0.0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6.5" customHeight="1">
      <c r="A21" s="30"/>
      <c r="B21" s="34"/>
      <c r="C21" s="26" t="s">
        <v>32</v>
      </c>
      <c r="D21" s="20"/>
      <c r="E21" s="26" t="s">
        <v>31</v>
      </c>
      <c r="F21" s="20"/>
      <c r="G21" s="29">
        <v>1.0</v>
      </c>
      <c r="H21" s="29">
        <v>1.0</v>
      </c>
      <c r="I21" s="29">
        <v>1.0</v>
      </c>
      <c r="J21" s="33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>
        <v>0.0</v>
      </c>
      <c r="Q21" s="29">
        <v>0.0</v>
      </c>
      <c r="R21" s="29">
        <v>0.0</v>
      </c>
      <c r="S21" s="29">
        <v>0.0</v>
      </c>
      <c r="T21" s="29">
        <v>0.0</v>
      </c>
      <c r="U21" s="29">
        <v>0.0</v>
      </c>
      <c r="V21" s="29">
        <v>0.0</v>
      </c>
      <c r="W21" s="29">
        <v>0.0</v>
      </c>
      <c r="X21" s="29">
        <v>0.0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16.5" customHeight="1">
      <c r="A22" s="30"/>
      <c r="B22" s="34"/>
      <c r="C22" s="26" t="s">
        <v>33</v>
      </c>
      <c r="D22" s="20"/>
      <c r="E22" s="26" t="s">
        <v>31</v>
      </c>
      <c r="F22" s="20"/>
      <c r="G22" s="29">
        <v>2.0</v>
      </c>
      <c r="H22" s="29">
        <v>2.0</v>
      </c>
      <c r="I22" s="29">
        <v>2.0</v>
      </c>
      <c r="J22" s="33">
        <v>0.0</v>
      </c>
      <c r="K22" s="29">
        <v>0.0</v>
      </c>
      <c r="L22" s="29">
        <v>0.0</v>
      </c>
      <c r="M22" s="29">
        <v>0.0</v>
      </c>
      <c r="N22" s="29">
        <v>0.0</v>
      </c>
      <c r="O22" s="29">
        <v>0.0</v>
      </c>
      <c r="P22" s="29">
        <v>0.0</v>
      </c>
      <c r="Q22" s="29">
        <v>0.0</v>
      </c>
      <c r="R22" s="29">
        <v>0.0</v>
      </c>
      <c r="S22" s="29">
        <v>0.0</v>
      </c>
      <c r="T22" s="29">
        <v>0.0</v>
      </c>
      <c r="U22" s="29">
        <v>0.0</v>
      </c>
      <c r="V22" s="29">
        <v>0.0</v>
      </c>
      <c r="W22" s="29">
        <v>0.0</v>
      </c>
      <c r="X22" s="29">
        <v>0.0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5" customHeight="1">
      <c r="A23" s="30"/>
      <c r="B23" s="34"/>
      <c r="C23" s="26" t="s">
        <v>34</v>
      </c>
      <c r="D23" s="20"/>
      <c r="E23" s="26" t="s">
        <v>31</v>
      </c>
      <c r="F23" s="20"/>
      <c r="G23" s="29">
        <v>2.0</v>
      </c>
      <c r="H23" s="29">
        <v>2.0</v>
      </c>
      <c r="I23" s="29">
        <v>2.0</v>
      </c>
      <c r="J23" s="29">
        <v>2.0</v>
      </c>
      <c r="K23" s="33">
        <v>0.0</v>
      </c>
      <c r="L23" s="29">
        <v>0.0</v>
      </c>
      <c r="M23" s="29">
        <v>0.0</v>
      </c>
      <c r="N23" s="29">
        <v>0.0</v>
      </c>
      <c r="O23" s="29">
        <v>0.0</v>
      </c>
      <c r="P23" s="29">
        <v>0.0</v>
      </c>
      <c r="Q23" s="29">
        <v>0.0</v>
      </c>
      <c r="R23" s="29">
        <v>0.0</v>
      </c>
      <c r="S23" s="29">
        <v>0.0</v>
      </c>
      <c r="T23" s="29">
        <v>0.0</v>
      </c>
      <c r="U23" s="29">
        <v>0.0</v>
      </c>
      <c r="V23" s="29">
        <v>0.0</v>
      </c>
      <c r="W23" s="29">
        <v>0.0</v>
      </c>
      <c r="X23" s="29">
        <v>0.0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5" customHeight="1">
      <c r="A24" s="30"/>
      <c r="B24" s="34"/>
      <c r="C24" s="26" t="s">
        <v>35</v>
      </c>
      <c r="D24" s="20"/>
      <c r="E24" s="26" t="s">
        <v>31</v>
      </c>
      <c r="F24" s="20"/>
      <c r="G24" s="29">
        <v>2.0</v>
      </c>
      <c r="H24" s="29">
        <v>2.0</v>
      </c>
      <c r="I24" s="29">
        <v>2.0</v>
      </c>
      <c r="J24" s="29">
        <v>2.0</v>
      </c>
      <c r="K24" s="33">
        <v>0.0</v>
      </c>
      <c r="L24" s="29">
        <v>0.0</v>
      </c>
      <c r="M24" s="29">
        <v>0.0</v>
      </c>
      <c r="N24" s="29">
        <v>0.0</v>
      </c>
      <c r="O24" s="29">
        <v>0.0</v>
      </c>
      <c r="P24" s="29">
        <v>0.0</v>
      </c>
      <c r="Q24" s="29">
        <v>0.0</v>
      </c>
      <c r="R24" s="29">
        <v>0.0</v>
      </c>
      <c r="S24" s="29">
        <v>0.0</v>
      </c>
      <c r="T24" s="29">
        <v>0.0</v>
      </c>
      <c r="U24" s="29">
        <v>0.0</v>
      </c>
      <c r="V24" s="29">
        <v>0.0</v>
      </c>
      <c r="W24" s="29">
        <v>0.0</v>
      </c>
      <c r="X24" s="29">
        <v>0.0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5" customHeight="1">
      <c r="A25" s="30"/>
      <c r="B25" s="34"/>
      <c r="C25" s="26" t="s">
        <v>36</v>
      </c>
      <c r="D25" s="20"/>
      <c r="E25" s="26" t="s">
        <v>31</v>
      </c>
      <c r="F25" s="20"/>
      <c r="G25" s="29">
        <v>2.0</v>
      </c>
      <c r="H25" s="29">
        <v>2.0</v>
      </c>
      <c r="I25" s="29">
        <v>2.0</v>
      </c>
      <c r="J25" s="29">
        <v>2.0</v>
      </c>
      <c r="K25" s="33">
        <v>0.0</v>
      </c>
      <c r="L25" s="29">
        <v>0.0</v>
      </c>
      <c r="M25" s="29">
        <v>0.0</v>
      </c>
      <c r="N25" s="29">
        <v>0.0</v>
      </c>
      <c r="O25" s="29">
        <v>0.0</v>
      </c>
      <c r="P25" s="29">
        <v>0.0</v>
      </c>
      <c r="Q25" s="29">
        <v>0.0</v>
      </c>
      <c r="R25" s="29">
        <v>0.0</v>
      </c>
      <c r="S25" s="29">
        <v>0.0</v>
      </c>
      <c r="T25" s="29">
        <v>0.0</v>
      </c>
      <c r="U25" s="29">
        <v>0.0</v>
      </c>
      <c r="V25" s="29">
        <v>0.0</v>
      </c>
      <c r="W25" s="29">
        <v>0.0</v>
      </c>
      <c r="X25" s="29">
        <v>0.0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5" customHeight="1">
      <c r="A26" s="30"/>
      <c r="B26" s="34"/>
      <c r="C26" s="26" t="s">
        <v>37</v>
      </c>
      <c r="D26" s="20"/>
      <c r="E26" s="26" t="s">
        <v>31</v>
      </c>
      <c r="F26" s="20"/>
      <c r="G26" s="29">
        <v>2.0</v>
      </c>
      <c r="H26" s="29">
        <v>2.0</v>
      </c>
      <c r="I26" s="29">
        <v>2.0</v>
      </c>
      <c r="J26" s="29">
        <v>2.0</v>
      </c>
      <c r="K26" s="33">
        <v>0.0</v>
      </c>
      <c r="L26" s="29">
        <v>0.0</v>
      </c>
      <c r="M26" s="29">
        <v>0.0</v>
      </c>
      <c r="N26" s="29">
        <v>0.0</v>
      </c>
      <c r="O26" s="29">
        <v>0.0</v>
      </c>
      <c r="P26" s="29">
        <v>0.0</v>
      </c>
      <c r="Q26" s="29">
        <v>0.0</v>
      </c>
      <c r="R26" s="29">
        <v>0.0</v>
      </c>
      <c r="S26" s="29">
        <v>0.0</v>
      </c>
      <c r="T26" s="29">
        <v>0.0</v>
      </c>
      <c r="U26" s="29">
        <v>0.0</v>
      </c>
      <c r="V26" s="29">
        <v>0.0</v>
      </c>
      <c r="W26" s="29">
        <v>0.0</v>
      </c>
      <c r="X26" s="29">
        <v>0.0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5" customHeight="1">
      <c r="A27" s="30"/>
      <c r="B27" s="34"/>
      <c r="C27" s="26" t="s">
        <v>38</v>
      </c>
      <c r="D27" s="20"/>
      <c r="E27" s="26" t="s">
        <v>31</v>
      </c>
      <c r="F27" s="20"/>
      <c r="G27" s="29">
        <v>2.0</v>
      </c>
      <c r="H27" s="29">
        <v>2.0</v>
      </c>
      <c r="I27" s="29">
        <v>2.0</v>
      </c>
      <c r="J27" s="29">
        <v>2.0</v>
      </c>
      <c r="K27" s="29">
        <v>2.0</v>
      </c>
      <c r="L27" s="33">
        <v>0.0</v>
      </c>
      <c r="M27" s="29">
        <v>0.0</v>
      </c>
      <c r="N27" s="29">
        <v>0.0</v>
      </c>
      <c r="O27" s="29">
        <v>0.0</v>
      </c>
      <c r="P27" s="29">
        <v>0.0</v>
      </c>
      <c r="Q27" s="29">
        <v>0.0</v>
      </c>
      <c r="R27" s="29">
        <v>0.0</v>
      </c>
      <c r="S27" s="29">
        <v>0.0</v>
      </c>
      <c r="T27" s="29">
        <v>0.0</v>
      </c>
      <c r="U27" s="29">
        <v>0.0</v>
      </c>
      <c r="V27" s="29">
        <v>0.0</v>
      </c>
      <c r="W27" s="29">
        <v>0.0</v>
      </c>
      <c r="X27" s="29">
        <v>0.0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5" customHeight="1">
      <c r="A28" s="30"/>
      <c r="B28" s="34"/>
      <c r="C28" s="26" t="s">
        <v>39</v>
      </c>
      <c r="D28" s="20"/>
      <c r="E28" s="26" t="s">
        <v>31</v>
      </c>
      <c r="F28" s="20"/>
      <c r="G28" s="29">
        <v>1.0</v>
      </c>
      <c r="H28" s="29">
        <v>1.0</v>
      </c>
      <c r="I28" s="29">
        <v>1.0</v>
      </c>
      <c r="J28" s="29">
        <v>1.0</v>
      </c>
      <c r="K28" s="29">
        <v>1.0</v>
      </c>
      <c r="L28" s="33">
        <v>0.0</v>
      </c>
      <c r="M28" s="29">
        <v>0.0</v>
      </c>
      <c r="N28" s="29">
        <v>0.0</v>
      </c>
      <c r="O28" s="29">
        <v>0.0</v>
      </c>
      <c r="P28" s="29">
        <v>0.0</v>
      </c>
      <c r="Q28" s="29">
        <v>0.0</v>
      </c>
      <c r="R28" s="29">
        <v>0.0</v>
      </c>
      <c r="S28" s="29">
        <v>0.0</v>
      </c>
      <c r="T28" s="29">
        <v>0.0</v>
      </c>
      <c r="U28" s="29">
        <v>0.0</v>
      </c>
      <c r="V28" s="29">
        <v>0.0</v>
      </c>
      <c r="W28" s="29">
        <v>0.0</v>
      </c>
      <c r="X28" s="29">
        <v>0.0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5" customHeight="1">
      <c r="A29" s="30"/>
      <c r="B29" s="34"/>
      <c r="C29" s="26" t="s">
        <v>40</v>
      </c>
      <c r="D29" s="20"/>
      <c r="E29" s="26" t="s">
        <v>31</v>
      </c>
      <c r="F29" s="20"/>
      <c r="G29" s="29">
        <v>1.0</v>
      </c>
      <c r="H29" s="29">
        <v>1.0</v>
      </c>
      <c r="I29" s="29">
        <v>1.0</v>
      </c>
      <c r="J29" s="29">
        <v>1.0</v>
      </c>
      <c r="K29" s="29">
        <v>1.0</v>
      </c>
      <c r="L29" s="33">
        <v>0.0</v>
      </c>
      <c r="M29" s="29">
        <v>0.0</v>
      </c>
      <c r="N29" s="29">
        <v>0.0</v>
      </c>
      <c r="O29" s="29">
        <v>0.0</v>
      </c>
      <c r="P29" s="29">
        <v>0.0</v>
      </c>
      <c r="Q29" s="29">
        <v>0.0</v>
      </c>
      <c r="R29" s="29">
        <v>0.0</v>
      </c>
      <c r="S29" s="29">
        <v>0.0</v>
      </c>
      <c r="T29" s="29">
        <v>0.0</v>
      </c>
      <c r="U29" s="29">
        <v>0.0</v>
      </c>
      <c r="V29" s="29">
        <v>0.0</v>
      </c>
      <c r="W29" s="29">
        <v>0.0</v>
      </c>
      <c r="X29" s="29">
        <v>0.0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5" customHeight="1">
      <c r="A30" s="30"/>
      <c r="B30" s="34"/>
      <c r="C30" s="26" t="s">
        <v>41</v>
      </c>
      <c r="D30" s="20"/>
      <c r="E30" s="26" t="s">
        <v>31</v>
      </c>
      <c r="F30" s="20"/>
      <c r="G30" s="29">
        <v>4.0</v>
      </c>
      <c r="H30" s="29">
        <v>2.0</v>
      </c>
      <c r="I30" s="29">
        <v>2.0</v>
      </c>
      <c r="J30" s="29">
        <v>2.0</v>
      </c>
      <c r="K30" s="29">
        <v>2.0</v>
      </c>
      <c r="L30" s="33">
        <v>0.0</v>
      </c>
      <c r="M30" s="29">
        <v>0.0</v>
      </c>
      <c r="N30" s="29">
        <v>0.0</v>
      </c>
      <c r="O30" s="29">
        <v>0.0</v>
      </c>
      <c r="P30" s="29">
        <v>0.0</v>
      </c>
      <c r="Q30" s="29">
        <v>0.0</v>
      </c>
      <c r="R30" s="29">
        <v>0.0</v>
      </c>
      <c r="S30" s="29">
        <v>0.0</v>
      </c>
      <c r="T30" s="29">
        <v>0.0</v>
      </c>
      <c r="U30" s="29">
        <v>0.0</v>
      </c>
      <c r="V30" s="29">
        <v>0.0</v>
      </c>
      <c r="W30" s="29">
        <v>0.0</v>
      </c>
      <c r="X30" s="29">
        <v>0.0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5" customHeight="1">
      <c r="A31" s="30"/>
      <c r="B31" s="34"/>
      <c r="C31" s="28"/>
      <c r="D31" s="20"/>
      <c r="E31" s="28"/>
      <c r="F31" s="20"/>
      <c r="G31" s="29"/>
      <c r="H31" s="29"/>
      <c r="I31" s="29"/>
      <c r="J31" s="29"/>
      <c r="K31" s="29"/>
      <c r="L31" s="35">
        <v>2.0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5" customHeight="1">
      <c r="A32" s="30"/>
      <c r="B32" s="36"/>
      <c r="C32" s="26" t="s">
        <v>42</v>
      </c>
      <c r="D32" s="20"/>
      <c r="E32" s="26" t="s">
        <v>31</v>
      </c>
      <c r="F32" s="20"/>
      <c r="G32" s="29">
        <v>2.0</v>
      </c>
      <c r="H32" s="29">
        <v>2.0</v>
      </c>
      <c r="I32" s="29">
        <v>2.0</v>
      </c>
      <c r="J32" s="29">
        <v>2.0</v>
      </c>
      <c r="K32" s="29">
        <v>2.0</v>
      </c>
      <c r="L32" s="29">
        <v>2.0</v>
      </c>
      <c r="M32" s="33">
        <v>0.0</v>
      </c>
      <c r="N32" s="29">
        <v>0.0</v>
      </c>
      <c r="O32" s="29">
        <v>0.0</v>
      </c>
      <c r="P32" s="29">
        <v>0.0</v>
      </c>
      <c r="Q32" s="29">
        <v>0.0</v>
      </c>
      <c r="R32" s="29">
        <v>0.0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>
        <v>0.0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5" customHeight="1">
      <c r="A33" s="30"/>
      <c r="B33" s="32" t="s">
        <v>43</v>
      </c>
      <c r="C33" s="26" t="s">
        <v>30</v>
      </c>
      <c r="D33" s="20"/>
      <c r="E33" s="26" t="s">
        <v>27</v>
      </c>
      <c r="F33" s="20"/>
      <c r="G33" s="29">
        <v>1.0</v>
      </c>
      <c r="H33" s="29">
        <v>1.0</v>
      </c>
      <c r="I33" s="29">
        <v>1.0</v>
      </c>
      <c r="J33" s="29">
        <v>1.0</v>
      </c>
      <c r="K33" s="29">
        <v>1.0</v>
      </c>
      <c r="L33" s="29">
        <v>1.0</v>
      </c>
      <c r="M33" s="33">
        <v>0.0</v>
      </c>
      <c r="N33" s="29">
        <v>0.0</v>
      </c>
      <c r="O33" s="29">
        <v>0.0</v>
      </c>
      <c r="P33" s="29">
        <v>0.0</v>
      </c>
      <c r="Q33" s="29">
        <v>0.0</v>
      </c>
      <c r="R33" s="29">
        <v>0.0</v>
      </c>
      <c r="S33" s="29">
        <v>0.0</v>
      </c>
      <c r="T33" s="29">
        <v>0.0</v>
      </c>
      <c r="U33" s="29">
        <v>0.0</v>
      </c>
      <c r="V33" s="29">
        <v>0.0</v>
      </c>
      <c r="W33" s="29">
        <v>0.0</v>
      </c>
      <c r="X33" s="29">
        <v>0.0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5" customHeight="1">
      <c r="A34" s="30"/>
      <c r="B34" s="34"/>
      <c r="C34" s="26" t="s">
        <v>32</v>
      </c>
      <c r="D34" s="20"/>
      <c r="E34" s="26" t="s">
        <v>27</v>
      </c>
      <c r="F34" s="20"/>
      <c r="G34" s="29">
        <v>1.0</v>
      </c>
      <c r="H34" s="29">
        <v>1.0</v>
      </c>
      <c r="I34" s="29">
        <v>1.0</v>
      </c>
      <c r="J34" s="29">
        <v>1.0</v>
      </c>
      <c r="K34" s="29">
        <v>1.0</v>
      </c>
      <c r="L34" s="29">
        <v>1.0</v>
      </c>
      <c r="M34" s="33">
        <v>0.0</v>
      </c>
      <c r="N34" s="29">
        <v>0.0</v>
      </c>
      <c r="O34" s="29">
        <v>0.0</v>
      </c>
      <c r="P34" s="29">
        <v>0.0</v>
      </c>
      <c r="Q34" s="29">
        <v>0.0</v>
      </c>
      <c r="R34" s="29">
        <v>0.0</v>
      </c>
      <c r="S34" s="29">
        <v>0.0</v>
      </c>
      <c r="T34" s="29">
        <v>0.0</v>
      </c>
      <c r="U34" s="29">
        <v>0.0</v>
      </c>
      <c r="V34" s="29">
        <v>0.0</v>
      </c>
      <c r="W34" s="29">
        <v>0.0</v>
      </c>
      <c r="X34" s="29">
        <v>0.0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6.5" customHeight="1">
      <c r="A35" s="30"/>
      <c r="B35" s="34"/>
      <c r="C35" s="26" t="s">
        <v>33</v>
      </c>
      <c r="D35" s="20"/>
      <c r="E35" s="26" t="s">
        <v>27</v>
      </c>
      <c r="F35" s="20"/>
      <c r="G35" s="29">
        <v>2.0</v>
      </c>
      <c r="H35" s="29">
        <v>2.0</v>
      </c>
      <c r="I35" s="29">
        <v>2.0</v>
      </c>
      <c r="J35" s="29">
        <v>2.0</v>
      </c>
      <c r="K35" s="29">
        <v>2.0</v>
      </c>
      <c r="L35" s="29">
        <v>2.0</v>
      </c>
      <c r="M35" s="33">
        <v>0.0</v>
      </c>
      <c r="N35" s="29">
        <v>0.0</v>
      </c>
      <c r="O35" s="29">
        <v>0.0</v>
      </c>
      <c r="P35" s="29">
        <v>0.0</v>
      </c>
      <c r="Q35" s="29">
        <v>0.0</v>
      </c>
      <c r="R35" s="29">
        <v>0.0</v>
      </c>
      <c r="S35" s="29">
        <v>0.0</v>
      </c>
      <c r="T35" s="29">
        <v>0.0</v>
      </c>
      <c r="U35" s="29">
        <v>0.0</v>
      </c>
      <c r="V35" s="29">
        <v>0.0</v>
      </c>
      <c r="W35" s="29">
        <v>0.0</v>
      </c>
      <c r="X35" s="29">
        <v>0.0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6.5" customHeight="1">
      <c r="A36" s="30"/>
      <c r="B36" s="34"/>
      <c r="C36" s="26" t="s">
        <v>34</v>
      </c>
      <c r="D36" s="20"/>
      <c r="E36" s="26" t="s">
        <v>44</v>
      </c>
      <c r="F36" s="20"/>
      <c r="G36" s="29">
        <v>1.0</v>
      </c>
      <c r="H36" s="29">
        <v>2.0</v>
      </c>
      <c r="I36" s="29">
        <v>2.0</v>
      </c>
      <c r="J36" s="29">
        <v>2.0</v>
      </c>
      <c r="K36" s="29">
        <v>2.0</v>
      </c>
      <c r="L36" s="29">
        <v>1.0</v>
      </c>
      <c r="M36" s="33">
        <v>0.0</v>
      </c>
      <c r="N36" s="29">
        <v>0.0</v>
      </c>
      <c r="O36" s="29">
        <v>0.0</v>
      </c>
      <c r="P36" s="29">
        <v>0.0</v>
      </c>
      <c r="Q36" s="29">
        <v>0.0</v>
      </c>
      <c r="R36" s="29">
        <v>0.0</v>
      </c>
      <c r="S36" s="29">
        <v>0.0</v>
      </c>
      <c r="T36" s="29">
        <v>0.0</v>
      </c>
      <c r="U36" s="29">
        <v>0.0</v>
      </c>
      <c r="V36" s="29">
        <v>0.0</v>
      </c>
      <c r="W36" s="29">
        <v>0.0</v>
      </c>
      <c r="X36" s="29">
        <v>0.0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6.5" customHeight="1">
      <c r="A37" s="30"/>
      <c r="B37" s="34"/>
      <c r="C37" s="28"/>
      <c r="D37" s="20"/>
      <c r="E37" s="28"/>
      <c r="F37" s="20"/>
      <c r="G37" s="29"/>
      <c r="H37" s="29"/>
      <c r="I37" s="29"/>
      <c r="J37" s="29"/>
      <c r="K37" s="29"/>
      <c r="L37" s="29"/>
      <c r="M37" s="37">
        <v>1.0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6.5" customHeight="1">
      <c r="A38" s="30"/>
      <c r="B38" s="34"/>
      <c r="C38" s="26" t="s">
        <v>35</v>
      </c>
      <c r="D38" s="20"/>
      <c r="E38" s="26" t="s">
        <v>45</v>
      </c>
      <c r="F38" s="20"/>
      <c r="G38" s="29">
        <v>2.0</v>
      </c>
      <c r="H38" s="29">
        <v>2.0</v>
      </c>
      <c r="I38" s="29">
        <v>2.0</v>
      </c>
      <c r="J38" s="29">
        <v>2.0</v>
      </c>
      <c r="K38" s="29">
        <v>2.0</v>
      </c>
      <c r="L38" s="29">
        <v>2.0</v>
      </c>
      <c r="M38" s="29">
        <v>2.0</v>
      </c>
      <c r="N38" s="33">
        <v>0.0</v>
      </c>
      <c r="O38" s="29">
        <v>0.0</v>
      </c>
      <c r="P38" s="29">
        <v>0.0</v>
      </c>
      <c r="Q38" s="29">
        <v>0.0</v>
      </c>
      <c r="R38" s="29">
        <v>0.0</v>
      </c>
      <c r="S38" s="29">
        <v>0.0</v>
      </c>
      <c r="T38" s="29">
        <v>0.0</v>
      </c>
      <c r="U38" s="29">
        <v>0.0</v>
      </c>
      <c r="V38" s="29">
        <v>0.0</v>
      </c>
      <c r="W38" s="29">
        <v>0.0</v>
      </c>
      <c r="X38" s="29">
        <v>0.0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16.5" customHeight="1">
      <c r="A39" s="30"/>
      <c r="B39" s="34"/>
      <c r="C39" s="26" t="s">
        <v>36</v>
      </c>
      <c r="D39" s="20"/>
      <c r="E39" s="26" t="s">
        <v>44</v>
      </c>
      <c r="F39" s="20"/>
      <c r="G39" s="29">
        <v>1.0</v>
      </c>
      <c r="H39" s="29">
        <v>1.0</v>
      </c>
      <c r="I39" s="29">
        <v>1.0</v>
      </c>
      <c r="J39" s="29">
        <v>1.0</v>
      </c>
      <c r="K39" s="29">
        <v>1.0</v>
      </c>
      <c r="L39" s="29">
        <v>1.0</v>
      </c>
      <c r="M39" s="29">
        <v>1.0</v>
      </c>
      <c r="N39" s="33">
        <v>0.0</v>
      </c>
      <c r="O39" s="29">
        <v>0.0</v>
      </c>
      <c r="P39" s="29">
        <v>0.0</v>
      </c>
      <c r="Q39" s="29">
        <v>0.0</v>
      </c>
      <c r="R39" s="29">
        <v>0.0</v>
      </c>
      <c r="S39" s="29">
        <v>0.0</v>
      </c>
      <c r="T39" s="29">
        <v>0.0</v>
      </c>
      <c r="U39" s="29">
        <v>0.0</v>
      </c>
      <c r="V39" s="29">
        <v>0.0</v>
      </c>
      <c r="W39" s="29">
        <v>0.0</v>
      </c>
      <c r="X39" s="29">
        <v>0.0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5" customHeight="1">
      <c r="A40" s="30"/>
      <c r="B40" s="34"/>
      <c r="C40" s="26" t="s">
        <v>37</v>
      </c>
      <c r="D40" s="20"/>
      <c r="E40" s="26" t="s">
        <v>44</v>
      </c>
      <c r="F40" s="20"/>
      <c r="G40" s="29">
        <v>1.0</v>
      </c>
      <c r="H40" s="29">
        <v>1.0</v>
      </c>
      <c r="I40" s="29">
        <v>1.0</v>
      </c>
      <c r="J40" s="29">
        <v>1.0</v>
      </c>
      <c r="K40" s="29">
        <v>1.0</v>
      </c>
      <c r="L40" s="29">
        <v>1.0</v>
      </c>
      <c r="M40" s="29">
        <v>1.0</v>
      </c>
      <c r="N40" s="33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5" customHeight="1">
      <c r="A41" s="30"/>
      <c r="B41" s="34"/>
      <c r="C41" s="26" t="s">
        <v>38</v>
      </c>
      <c r="D41" s="20"/>
      <c r="E41" s="26" t="s">
        <v>27</v>
      </c>
      <c r="F41" s="20"/>
      <c r="G41" s="29">
        <v>1.0</v>
      </c>
      <c r="H41" s="29">
        <v>1.0</v>
      </c>
      <c r="I41" s="29">
        <v>1.0</v>
      </c>
      <c r="J41" s="29">
        <v>1.0</v>
      </c>
      <c r="K41" s="29">
        <v>1.0</v>
      </c>
      <c r="L41" s="29">
        <v>1.0</v>
      </c>
      <c r="M41" s="29">
        <v>1.0</v>
      </c>
      <c r="N41" s="33">
        <v>0.0</v>
      </c>
      <c r="O41" s="29">
        <v>0.0</v>
      </c>
      <c r="P41" s="29">
        <v>0.0</v>
      </c>
      <c r="Q41" s="29">
        <v>0.0</v>
      </c>
      <c r="R41" s="29">
        <v>0.0</v>
      </c>
      <c r="S41" s="29">
        <v>0.0</v>
      </c>
      <c r="T41" s="29">
        <v>0.0</v>
      </c>
      <c r="U41" s="29">
        <v>0.0</v>
      </c>
      <c r="V41" s="29">
        <v>0.0</v>
      </c>
      <c r="W41" s="29">
        <v>0.0</v>
      </c>
      <c r="X41" s="29">
        <v>0.0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5" customHeight="1">
      <c r="A42" s="30"/>
      <c r="B42" s="34"/>
      <c r="C42" s="26" t="s">
        <v>39</v>
      </c>
      <c r="D42" s="20"/>
      <c r="E42" s="26" t="s">
        <v>46</v>
      </c>
      <c r="F42" s="20"/>
      <c r="G42" s="29">
        <v>1.0</v>
      </c>
      <c r="H42" s="29">
        <v>1.0</v>
      </c>
      <c r="I42" s="29">
        <v>1.0</v>
      </c>
      <c r="J42" s="29">
        <v>1.0</v>
      </c>
      <c r="K42" s="29">
        <v>1.0</v>
      </c>
      <c r="L42" s="29">
        <v>1.0</v>
      </c>
      <c r="M42" s="29">
        <v>1.0</v>
      </c>
      <c r="N42" s="33">
        <v>0.0</v>
      </c>
      <c r="O42" s="29">
        <v>0.0</v>
      </c>
      <c r="P42" s="29">
        <v>0.0</v>
      </c>
      <c r="Q42" s="29">
        <v>0.0</v>
      </c>
      <c r="R42" s="29">
        <v>0.0</v>
      </c>
      <c r="S42" s="29">
        <v>0.0</v>
      </c>
      <c r="T42" s="29">
        <v>0.0</v>
      </c>
      <c r="U42" s="29">
        <v>0.0</v>
      </c>
      <c r="V42" s="29">
        <v>0.0</v>
      </c>
      <c r="W42" s="29">
        <v>0.0</v>
      </c>
      <c r="X42" s="29">
        <v>0.0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5" customHeight="1">
      <c r="A43" s="30"/>
      <c r="B43" s="34"/>
      <c r="C43" s="26" t="s">
        <v>40</v>
      </c>
      <c r="D43" s="20"/>
      <c r="E43" s="26" t="s">
        <v>46</v>
      </c>
      <c r="F43" s="20"/>
      <c r="G43" s="29">
        <v>1.0</v>
      </c>
      <c r="H43" s="29">
        <v>1.0</v>
      </c>
      <c r="I43" s="29">
        <v>1.0</v>
      </c>
      <c r="J43" s="29">
        <v>1.0</v>
      </c>
      <c r="K43" s="29">
        <v>1.0</v>
      </c>
      <c r="L43" s="29">
        <v>1.0</v>
      </c>
      <c r="M43" s="29">
        <v>1.0</v>
      </c>
      <c r="N43" s="33">
        <v>0.0</v>
      </c>
      <c r="O43" s="29">
        <v>0.0</v>
      </c>
      <c r="P43" s="29">
        <v>0.0</v>
      </c>
      <c r="Q43" s="29">
        <v>0.0</v>
      </c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>
        <v>0.0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5" customHeight="1">
      <c r="A44" s="30"/>
      <c r="B44" s="34"/>
      <c r="C44" s="26" t="s">
        <v>41</v>
      </c>
      <c r="D44" s="20"/>
      <c r="E44" s="26" t="s">
        <v>45</v>
      </c>
      <c r="F44" s="20"/>
      <c r="G44" s="29">
        <v>2.0</v>
      </c>
      <c r="H44" s="29">
        <v>2.0</v>
      </c>
      <c r="I44" s="29">
        <v>2.0</v>
      </c>
      <c r="J44" s="29">
        <v>2.0</v>
      </c>
      <c r="K44" s="29">
        <v>2.0</v>
      </c>
      <c r="L44" s="29">
        <v>2.0</v>
      </c>
      <c r="M44" s="29">
        <v>2.0</v>
      </c>
      <c r="N44" s="33">
        <v>0.0</v>
      </c>
      <c r="O44" s="29">
        <v>0.0</v>
      </c>
      <c r="P44" s="29">
        <v>0.0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5" customHeight="1">
      <c r="A45" s="30"/>
      <c r="B45" s="36"/>
      <c r="C45" s="26" t="s">
        <v>42</v>
      </c>
      <c r="D45" s="20"/>
      <c r="E45" s="26" t="s">
        <v>44</v>
      </c>
      <c r="F45" s="20"/>
      <c r="G45" s="29">
        <v>1.0</v>
      </c>
      <c r="H45" s="29">
        <v>1.0</v>
      </c>
      <c r="I45" s="29">
        <v>1.0</v>
      </c>
      <c r="J45" s="29">
        <v>1.0</v>
      </c>
      <c r="K45" s="29">
        <v>1.0</v>
      </c>
      <c r="L45" s="29">
        <v>1.0</v>
      </c>
      <c r="M45" s="29">
        <v>1.0</v>
      </c>
      <c r="N45" s="33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5" customHeight="1">
      <c r="A46" s="30"/>
      <c r="B46" s="32" t="s">
        <v>47</v>
      </c>
      <c r="C46" s="26" t="s">
        <v>48</v>
      </c>
      <c r="D46" s="20"/>
      <c r="E46" s="26" t="s">
        <v>49</v>
      </c>
      <c r="F46" s="20"/>
      <c r="G46" s="29">
        <v>1.0</v>
      </c>
      <c r="H46" s="29">
        <v>1.0</v>
      </c>
      <c r="I46" s="29">
        <v>1.0</v>
      </c>
      <c r="J46" s="29">
        <v>1.0</v>
      </c>
      <c r="K46" s="29">
        <v>1.0</v>
      </c>
      <c r="L46" s="29">
        <v>1.0</v>
      </c>
      <c r="M46" s="29">
        <v>1.0</v>
      </c>
      <c r="N46" s="33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5" customHeight="1">
      <c r="A47" s="30"/>
      <c r="B47" s="34"/>
      <c r="C47" s="26" t="s">
        <v>50</v>
      </c>
      <c r="D47" s="20"/>
      <c r="E47" s="26" t="s">
        <v>49</v>
      </c>
      <c r="F47" s="20"/>
      <c r="G47" s="29">
        <v>2.0</v>
      </c>
      <c r="H47" s="29">
        <v>2.0</v>
      </c>
      <c r="I47" s="29">
        <v>2.0</v>
      </c>
      <c r="J47" s="29">
        <v>2.0</v>
      </c>
      <c r="K47" s="29">
        <v>2.0</v>
      </c>
      <c r="L47" s="29">
        <v>2.0</v>
      </c>
      <c r="M47" s="29">
        <v>2.0</v>
      </c>
      <c r="N47" s="33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5" customHeight="1">
      <c r="A48" s="30"/>
      <c r="B48" s="34"/>
      <c r="C48" s="26" t="s">
        <v>51</v>
      </c>
      <c r="D48" s="20"/>
      <c r="E48" s="26" t="s">
        <v>52</v>
      </c>
      <c r="F48" s="20"/>
      <c r="G48" s="29">
        <v>2.0</v>
      </c>
      <c r="H48" s="29">
        <v>2.0</v>
      </c>
      <c r="I48" s="29">
        <v>2.0</v>
      </c>
      <c r="J48" s="29">
        <v>2.0</v>
      </c>
      <c r="K48" s="29">
        <v>2.0</v>
      </c>
      <c r="L48" s="29">
        <v>2.0</v>
      </c>
      <c r="M48" s="29">
        <v>2.0</v>
      </c>
      <c r="N48" s="29">
        <v>2.0</v>
      </c>
      <c r="O48" s="33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5" customHeight="1">
      <c r="A49" s="30"/>
      <c r="B49" s="34"/>
      <c r="C49" s="26" t="s">
        <v>53</v>
      </c>
      <c r="D49" s="20"/>
      <c r="E49" s="26" t="s">
        <v>49</v>
      </c>
      <c r="F49" s="20"/>
      <c r="G49" s="29">
        <v>1.0</v>
      </c>
      <c r="H49" s="29">
        <v>1.0</v>
      </c>
      <c r="I49" s="29">
        <v>1.0</v>
      </c>
      <c r="J49" s="29">
        <v>1.0</v>
      </c>
      <c r="K49" s="29">
        <v>1.0</v>
      </c>
      <c r="L49" s="29">
        <v>1.0</v>
      </c>
      <c r="M49" s="29">
        <v>1.0</v>
      </c>
      <c r="N49" s="29">
        <v>1.0</v>
      </c>
      <c r="O49" s="33">
        <v>0.0</v>
      </c>
      <c r="P49" s="38">
        <v>0.0</v>
      </c>
      <c r="Q49" s="38">
        <v>0.0</v>
      </c>
      <c r="R49" s="38">
        <v>0.0</v>
      </c>
      <c r="S49" s="38">
        <v>0.0</v>
      </c>
      <c r="T49" s="38">
        <v>0.0</v>
      </c>
      <c r="U49" s="38">
        <v>0.0</v>
      </c>
      <c r="V49" s="38">
        <v>0.0</v>
      </c>
      <c r="W49" s="38">
        <v>0.0</v>
      </c>
      <c r="X49" s="38">
        <v>0.0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5" customHeight="1">
      <c r="A50" s="30"/>
      <c r="B50" s="34"/>
      <c r="C50" s="26" t="s">
        <v>54</v>
      </c>
      <c r="D50" s="20"/>
      <c r="E50" s="26" t="s">
        <v>49</v>
      </c>
      <c r="F50" s="20"/>
      <c r="G50" s="29">
        <v>2.0</v>
      </c>
      <c r="H50" s="29">
        <v>2.0</v>
      </c>
      <c r="I50" s="29">
        <v>2.0</v>
      </c>
      <c r="J50" s="29">
        <v>2.0</v>
      </c>
      <c r="K50" s="29">
        <v>2.0</v>
      </c>
      <c r="L50" s="29">
        <v>2.0</v>
      </c>
      <c r="M50" s="29">
        <v>2.0</v>
      </c>
      <c r="N50" s="29">
        <v>2.0</v>
      </c>
      <c r="O50" s="33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5" customHeight="1">
      <c r="A51" s="30"/>
      <c r="B51" s="34"/>
      <c r="C51" s="26" t="s">
        <v>55</v>
      </c>
      <c r="D51" s="20"/>
      <c r="E51" s="26" t="s">
        <v>52</v>
      </c>
      <c r="F51" s="20"/>
      <c r="G51" s="29">
        <v>3.0</v>
      </c>
      <c r="H51" s="29">
        <v>3.0</v>
      </c>
      <c r="I51" s="29">
        <v>3.0</v>
      </c>
      <c r="J51" s="29">
        <v>3.0</v>
      </c>
      <c r="K51" s="29">
        <v>3.0</v>
      </c>
      <c r="L51" s="29">
        <v>3.0</v>
      </c>
      <c r="M51" s="29">
        <v>3.0</v>
      </c>
      <c r="N51" s="29">
        <v>3.0</v>
      </c>
      <c r="O51" s="33">
        <v>0.0</v>
      </c>
      <c r="P51" s="38">
        <v>0.0</v>
      </c>
      <c r="Q51" s="38">
        <v>0.0</v>
      </c>
      <c r="R51" s="38">
        <v>0.0</v>
      </c>
      <c r="S51" s="38">
        <v>0.0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6.5" customHeight="1">
      <c r="A52" s="30"/>
      <c r="B52" s="34"/>
      <c r="C52" s="26" t="s">
        <v>56</v>
      </c>
      <c r="D52" s="20"/>
      <c r="E52" s="26" t="s">
        <v>49</v>
      </c>
      <c r="F52" s="20"/>
      <c r="G52" s="29">
        <v>1.0</v>
      </c>
      <c r="H52" s="29">
        <v>1.0</v>
      </c>
      <c r="I52" s="29">
        <v>1.0</v>
      </c>
      <c r="J52" s="29">
        <v>1.0</v>
      </c>
      <c r="K52" s="29">
        <v>1.0</v>
      </c>
      <c r="L52" s="29">
        <v>1.0</v>
      </c>
      <c r="M52" s="29">
        <v>1.0</v>
      </c>
      <c r="N52" s="29">
        <v>1.0</v>
      </c>
      <c r="O52" s="33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0.0</v>
      </c>
      <c r="U52" s="38">
        <v>0.0</v>
      </c>
      <c r="V52" s="38">
        <v>0.0</v>
      </c>
      <c r="W52" s="38">
        <v>0.0</v>
      </c>
      <c r="X52" s="38">
        <v>0.0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6.5" customHeight="1">
      <c r="A53" s="30"/>
      <c r="B53" s="34"/>
      <c r="C53" s="26" t="s">
        <v>57</v>
      </c>
      <c r="D53" s="20"/>
      <c r="E53" s="26" t="s">
        <v>49</v>
      </c>
      <c r="F53" s="20"/>
      <c r="G53" s="29">
        <v>1.0</v>
      </c>
      <c r="H53" s="29">
        <v>1.0</v>
      </c>
      <c r="I53" s="29">
        <v>1.0</v>
      </c>
      <c r="J53" s="29">
        <v>1.0</v>
      </c>
      <c r="K53" s="29">
        <v>1.0</v>
      </c>
      <c r="L53" s="29">
        <v>1.0</v>
      </c>
      <c r="M53" s="29">
        <v>1.0</v>
      </c>
      <c r="N53" s="29">
        <v>1.0</v>
      </c>
      <c r="O53" s="33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6.5" customHeight="1">
      <c r="A54" s="30"/>
      <c r="B54" s="34"/>
      <c r="C54" s="26" t="s">
        <v>58</v>
      </c>
      <c r="D54" s="20"/>
      <c r="E54" s="26" t="s">
        <v>52</v>
      </c>
      <c r="F54" s="20"/>
      <c r="G54" s="29">
        <v>1.0</v>
      </c>
      <c r="H54" s="29">
        <v>1.0</v>
      </c>
      <c r="I54" s="29">
        <v>1.0</v>
      </c>
      <c r="J54" s="29">
        <v>1.0</v>
      </c>
      <c r="K54" s="29">
        <v>1.0</v>
      </c>
      <c r="L54" s="29">
        <v>1.0</v>
      </c>
      <c r="M54" s="29">
        <v>1.0</v>
      </c>
      <c r="N54" s="29">
        <v>1.0</v>
      </c>
      <c r="O54" s="33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6.5" customHeight="1">
      <c r="A55" s="30"/>
      <c r="B55" s="34"/>
      <c r="C55" s="26" t="s">
        <v>59</v>
      </c>
      <c r="D55" s="20"/>
      <c r="E55" s="26" t="s">
        <v>49</v>
      </c>
      <c r="F55" s="20"/>
      <c r="G55" s="29">
        <v>1.0</v>
      </c>
      <c r="H55" s="29">
        <v>1.0</v>
      </c>
      <c r="I55" s="29">
        <v>1.0</v>
      </c>
      <c r="J55" s="29">
        <v>1.0</v>
      </c>
      <c r="K55" s="29">
        <v>1.0</v>
      </c>
      <c r="L55" s="29">
        <v>1.0</v>
      </c>
      <c r="M55" s="29">
        <v>1.0</v>
      </c>
      <c r="N55" s="29">
        <v>1.0</v>
      </c>
      <c r="O55" s="33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16.5" customHeight="1">
      <c r="A56" s="30"/>
      <c r="B56" s="34"/>
      <c r="C56" s="26" t="s">
        <v>60</v>
      </c>
      <c r="D56" s="20"/>
      <c r="E56" s="26" t="s">
        <v>49</v>
      </c>
      <c r="F56" s="20"/>
      <c r="G56" s="29">
        <v>2.0</v>
      </c>
      <c r="H56" s="29">
        <v>2.0</v>
      </c>
      <c r="I56" s="29">
        <v>2.0</v>
      </c>
      <c r="J56" s="29">
        <v>2.0</v>
      </c>
      <c r="K56" s="29">
        <v>2.0</v>
      </c>
      <c r="L56" s="29">
        <v>2.0</v>
      </c>
      <c r="M56" s="29">
        <v>2.0</v>
      </c>
      <c r="N56" s="29">
        <v>2.0</v>
      </c>
      <c r="O56" s="38">
        <v>2.0</v>
      </c>
      <c r="P56" s="33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5" customHeight="1">
      <c r="A57" s="30"/>
      <c r="B57" s="34"/>
      <c r="C57" s="26" t="s">
        <v>61</v>
      </c>
      <c r="D57" s="20"/>
      <c r="E57" s="26" t="s">
        <v>52</v>
      </c>
      <c r="F57" s="20"/>
      <c r="G57" s="29">
        <v>2.0</v>
      </c>
      <c r="H57" s="29">
        <v>2.0</v>
      </c>
      <c r="I57" s="29">
        <v>2.0</v>
      </c>
      <c r="J57" s="29">
        <v>2.0</v>
      </c>
      <c r="K57" s="29">
        <v>2.0</v>
      </c>
      <c r="L57" s="29">
        <v>2.0</v>
      </c>
      <c r="M57" s="29">
        <v>2.0</v>
      </c>
      <c r="N57" s="29">
        <v>2.0</v>
      </c>
      <c r="O57" s="38">
        <v>2.0</v>
      </c>
      <c r="P57" s="33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5" customHeight="1">
      <c r="A58" s="30"/>
      <c r="B58" s="34"/>
      <c r="C58" s="26" t="s">
        <v>62</v>
      </c>
      <c r="D58" s="20"/>
      <c r="E58" s="26" t="s">
        <v>49</v>
      </c>
      <c r="F58" s="20"/>
      <c r="G58" s="29">
        <v>1.0</v>
      </c>
      <c r="H58" s="29">
        <v>1.0</v>
      </c>
      <c r="I58" s="29">
        <v>1.0</v>
      </c>
      <c r="J58" s="29">
        <v>1.0</v>
      </c>
      <c r="K58" s="29">
        <v>1.0</v>
      </c>
      <c r="L58" s="29">
        <v>1.0</v>
      </c>
      <c r="M58" s="29">
        <v>1.0</v>
      </c>
      <c r="N58" s="29">
        <v>1.0</v>
      </c>
      <c r="O58" s="38">
        <v>1.0</v>
      </c>
      <c r="P58" s="33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5" customHeight="1">
      <c r="A59" s="30"/>
      <c r="B59" s="34"/>
      <c r="C59" s="26" t="s">
        <v>63</v>
      </c>
      <c r="D59" s="20"/>
      <c r="E59" s="26" t="s">
        <v>49</v>
      </c>
      <c r="F59" s="20"/>
      <c r="G59" s="29">
        <v>2.0</v>
      </c>
      <c r="H59" s="29">
        <v>2.0</v>
      </c>
      <c r="I59" s="29">
        <v>2.0</v>
      </c>
      <c r="J59" s="29">
        <v>2.0</v>
      </c>
      <c r="K59" s="29">
        <v>2.0</v>
      </c>
      <c r="L59" s="29">
        <v>2.0</v>
      </c>
      <c r="M59" s="29">
        <v>2.0</v>
      </c>
      <c r="N59" s="29">
        <v>2.0</v>
      </c>
      <c r="O59" s="38">
        <v>2.0</v>
      </c>
      <c r="P59" s="33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5" customHeight="1">
      <c r="A60" s="30"/>
      <c r="B60" s="34"/>
      <c r="C60" s="26" t="s">
        <v>64</v>
      </c>
      <c r="D60" s="20"/>
      <c r="E60" s="26" t="s">
        <v>52</v>
      </c>
      <c r="F60" s="20"/>
      <c r="G60" s="29">
        <v>4.0</v>
      </c>
      <c r="H60" s="29">
        <v>2.0</v>
      </c>
      <c r="I60" s="29">
        <v>2.0</v>
      </c>
      <c r="J60" s="29">
        <v>2.0</v>
      </c>
      <c r="K60" s="29">
        <v>2.0</v>
      </c>
      <c r="L60" s="29">
        <v>2.0</v>
      </c>
      <c r="M60" s="29">
        <v>2.0</v>
      </c>
      <c r="N60" s="29">
        <v>2.0</v>
      </c>
      <c r="O60" s="38">
        <v>2.0</v>
      </c>
      <c r="P60" s="33">
        <v>0.0</v>
      </c>
      <c r="Q60" s="38">
        <v>0.0</v>
      </c>
      <c r="R60" s="38">
        <v>0.0</v>
      </c>
      <c r="S60" s="38">
        <v>0.0</v>
      </c>
      <c r="T60" s="38">
        <v>0.0</v>
      </c>
      <c r="U60" s="38">
        <v>0.0</v>
      </c>
      <c r="V60" s="38">
        <v>0.0</v>
      </c>
      <c r="W60" s="38">
        <v>0.0</v>
      </c>
      <c r="X60" s="38">
        <v>0.0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5" customHeight="1">
      <c r="A61" s="30"/>
      <c r="B61" s="34"/>
      <c r="C61" s="28"/>
      <c r="D61" s="20"/>
      <c r="E61" s="28"/>
      <c r="F61" s="20"/>
      <c r="G61" s="29"/>
      <c r="H61" s="29"/>
      <c r="I61" s="29"/>
      <c r="J61" s="29"/>
      <c r="K61" s="29"/>
      <c r="L61" s="29"/>
      <c r="M61" s="29"/>
      <c r="N61" s="29"/>
      <c r="O61" s="38"/>
      <c r="P61" s="35">
        <v>2.0</v>
      </c>
      <c r="Q61" s="38"/>
      <c r="R61" s="38"/>
      <c r="S61" s="38"/>
      <c r="T61" s="38"/>
      <c r="U61" s="38"/>
      <c r="V61" s="38"/>
      <c r="W61" s="38"/>
      <c r="X61" s="38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5" customHeight="1">
      <c r="A62" s="30"/>
      <c r="B62" s="34"/>
      <c r="C62" s="26" t="s">
        <v>65</v>
      </c>
      <c r="D62" s="20"/>
      <c r="E62" s="26" t="s">
        <v>49</v>
      </c>
      <c r="F62" s="20"/>
      <c r="G62" s="29">
        <v>1.0</v>
      </c>
      <c r="H62" s="29">
        <v>1.0</v>
      </c>
      <c r="I62" s="29">
        <v>1.0</v>
      </c>
      <c r="J62" s="29">
        <v>1.0</v>
      </c>
      <c r="K62" s="29">
        <v>1.0</v>
      </c>
      <c r="L62" s="29">
        <v>1.0</v>
      </c>
      <c r="M62" s="29">
        <v>1.0</v>
      </c>
      <c r="N62" s="29">
        <v>1.0</v>
      </c>
      <c r="O62" s="38">
        <v>1.0</v>
      </c>
      <c r="P62" s="33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5" customHeight="1">
      <c r="A63" s="30"/>
      <c r="B63" s="34"/>
      <c r="C63" s="26" t="s">
        <v>66</v>
      </c>
      <c r="D63" s="20"/>
      <c r="E63" s="26" t="s">
        <v>49</v>
      </c>
      <c r="F63" s="20"/>
      <c r="G63" s="29">
        <v>1.0</v>
      </c>
      <c r="H63" s="29">
        <v>2.0</v>
      </c>
      <c r="I63" s="29">
        <v>2.0</v>
      </c>
      <c r="J63" s="29">
        <v>2.0</v>
      </c>
      <c r="K63" s="29">
        <v>2.0</v>
      </c>
      <c r="L63" s="29">
        <v>2.0</v>
      </c>
      <c r="M63" s="29">
        <v>2.0</v>
      </c>
      <c r="N63" s="29">
        <v>2.0</v>
      </c>
      <c r="O63" s="38">
        <v>2.0</v>
      </c>
      <c r="P63" s="33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5" customHeight="1">
      <c r="A64" s="30"/>
      <c r="B64" s="34"/>
      <c r="C64" s="28"/>
      <c r="D64" s="20"/>
      <c r="E64" s="28"/>
      <c r="F64" s="20"/>
      <c r="G64" s="29"/>
      <c r="H64" s="29"/>
      <c r="I64" s="29"/>
      <c r="J64" s="29"/>
      <c r="K64" s="29"/>
      <c r="L64" s="29"/>
      <c r="M64" s="29"/>
      <c r="N64" s="29"/>
      <c r="O64" s="38"/>
      <c r="P64" s="37">
        <v>1.0</v>
      </c>
      <c r="Q64" s="38"/>
      <c r="R64" s="38"/>
      <c r="S64" s="38"/>
      <c r="T64" s="38"/>
      <c r="U64" s="38"/>
      <c r="V64" s="38"/>
      <c r="W64" s="38"/>
      <c r="X64" s="38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5" customHeight="1">
      <c r="A65" s="30"/>
      <c r="B65" s="34"/>
      <c r="C65" s="26" t="s">
        <v>67</v>
      </c>
      <c r="D65" s="20"/>
      <c r="E65" s="26" t="s">
        <v>52</v>
      </c>
      <c r="F65" s="20"/>
      <c r="G65" s="29">
        <v>2.0</v>
      </c>
      <c r="H65" s="29">
        <v>2.0</v>
      </c>
      <c r="I65" s="29">
        <v>2.0</v>
      </c>
      <c r="J65" s="29">
        <v>2.0</v>
      </c>
      <c r="K65" s="29">
        <v>2.0</v>
      </c>
      <c r="L65" s="29">
        <v>2.0</v>
      </c>
      <c r="M65" s="29">
        <v>2.0</v>
      </c>
      <c r="N65" s="29">
        <v>2.0</v>
      </c>
      <c r="O65" s="38">
        <v>2.0</v>
      </c>
      <c r="P65" s="33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5" customHeight="1">
      <c r="A66" s="30"/>
      <c r="B66" s="34"/>
      <c r="C66" s="26" t="s">
        <v>68</v>
      </c>
      <c r="D66" s="20"/>
      <c r="E66" s="26" t="s">
        <v>49</v>
      </c>
      <c r="F66" s="20"/>
      <c r="G66" s="29">
        <v>1.0</v>
      </c>
      <c r="H66" s="29">
        <v>1.0</v>
      </c>
      <c r="I66" s="29">
        <v>1.0</v>
      </c>
      <c r="J66" s="29">
        <v>1.0</v>
      </c>
      <c r="K66" s="29">
        <v>1.0</v>
      </c>
      <c r="L66" s="29">
        <v>1.0</v>
      </c>
      <c r="M66" s="29">
        <v>1.0</v>
      </c>
      <c r="N66" s="29">
        <v>1.0</v>
      </c>
      <c r="O66" s="38">
        <v>1.0</v>
      </c>
      <c r="P66" s="38">
        <v>1.0</v>
      </c>
      <c r="Q66" s="33">
        <v>0.0</v>
      </c>
      <c r="R66" s="38">
        <v>0.0</v>
      </c>
      <c r="S66" s="38">
        <v>0.0</v>
      </c>
      <c r="T66" s="38">
        <v>0.0</v>
      </c>
      <c r="U66" s="38">
        <v>0.0</v>
      </c>
      <c r="V66" s="38">
        <v>0.0</v>
      </c>
      <c r="W66" s="38">
        <v>0.0</v>
      </c>
      <c r="X66" s="38">
        <v>0.0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5" customHeight="1">
      <c r="A67" s="30"/>
      <c r="B67" s="34"/>
      <c r="C67" s="26" t="s">
        <v>69</v>
      </c>
      <c r="D67" s="20"/>
      <c r="E67" s="26" t="s">
        <v>49</v>
      </c>
      <c r="F67" s="20"/>
      <c r="G67" s="29">
        <v>2.0</v>
      </c>
      <c r="H67" s="29">
        <v>2.0</v>
      </c>
      <c r="I67" s="29">
        <v>2.0</v>
      </c>
      <c r="J67" s="29">
        <v>2.0</v>
      </c>
      <c r="K67" s="29">
        <v>2.0</v>
      </c>
      <c r="L67" s="29">
        <v>2.0</v>
      </c>
      <c r="M67" s="29">
        <v>2.0</v>
      </c>
      <c r="N67" s="29">
        <v>2.0</v>
      </c>
      <c r="O67" s="38">
        <v>2.0</v>
      </c>
      <c r="P67" s="38">
        <v>2.0</v>
      </c>
      <c r="Q67" s="33">
        <v>0.0</v>
      </c>
      <c r="R67" s="38">
        <v>0.0</v>
      </c>
      <c r="S67" s="38">
        <v>0.0</v>
      </c>
      <c r="T67" s="38">
        <v>0.0</v>
      </c>
      <c r="U67" s="38">
        <v>0.0</v>
      </c>
      <c r="V67" s="38">
        <v>0.0</v>
      </c>
      <c r="W67" s="38">
        <v>0.0</v>
      </c>
      <c r="X67" s="38">
        <v>0.0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5" customHeight="1">
      <c r="A68" s="30"/>
      <c r="B68" s="34"/>
      <c r="C68" s="26" t="s">
        <v>70</v>
      </c>
      <c r="D68" s="20"/>
      <c r="E68" s="26" t="s">
        <v>52</v>
      </c>
      <c r="F68" s="20"/>
      <c r="G68" s="29">
        <v>2.0</v>
      </c>
      <c r="H68" s="29">
        <v>1.0</v>
      </c>
      <c r="I68" s="29">
        <v>1.0</v>
      </c>
      <c r="J68" s="29">
        <v>1.0</v>
      </c>
      <c r="K68" s="29">
        <v>1.0</v>
      </c>
      <c r="L68" s="29">
        <v>1.0</v>
      </c>
      <c r="M68" s="29">
        <v>1.0</v>
      </c>
      <c r="N68" s="29">
        <v>1.0</v>
      </c>
      <c r="O68" s="38">
        <v>1.0</v>
      </c>
      <c r="P68" s="38">
        <v>1.0</v>
      </c>
      <c r="Q68" s="33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6.5" customHeight="1">
      <c r="A69" s="30"/>
      <c r="B69" s="34"/>
      <c r="C69" s="28"/>
      <c r="D69" s="20"/>
      <c r="E69" s="28"/>
      <c r="F69" s="20"/>
      <c r="G69" s="29"/>
      <c r="H69" s="29"/>
      <c r="I69" s="29"/>
      <c r="J69" s="29"/>
      <c r="K69" s="29"/>
      <c r="L69" s="29"/>
      <c r="M69" s="29"/>
      <c r="N69" s="29"/>
      <c r="O69" s="38"/>
      <c r="P69" s="38"/>
      <c r="Q69" s="35">
        <v>1.0</v>
      </c>
      <c r="R69" s="38"/>
      <c r="S69" s="38"/>
      <c r="T69" s="38"/>
      <c r="U69" s="38"/>
      <c r="V69" s="38"/>
      <c r="W69" s="38"/>
      <c r="X69" s="38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6.5" customHeight="1">
      <c r="A70" s="30"/>
      <c r="B70" s="34"/>
      <c r="C70" s="26" t="s">
        <v>71</v>
      </c>
      <c r="D70" s="20"/>
      <c r="E70" s="26" t="s">
        <v>49</v>
      </c>
      <c r="F70" s="20"/>
      <c r="G70" s="29">
        <v>1.0</v>
      </c>
      <c r="H70" s="29">
        <v>1.0</v>
      </c>
      <c r="I70" s="29">
        <v>1.0</v>
      </c>
      <c r="J70" s="29">
        <v>1.0</v>
      </c>
      <c r="K70" s="29">
        <v>1.0</v>
      </c>
      <c r="L70" s="29">
        <v>1.0</v>
      </c>
      <c r="M70" s="29">
        <v>1.0</v>
      </c>
      <c r="N70" s="29">
        <v>1.0</v>
      </c>
      <c r="O70" s="38">
        <v>1.0</v>
      </c>
      <c r="P70" s="38">
        <v>1.0</v>
      </c>
      <c r="Q70" s="33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6.5" customHeight="1">
      <c r="A71" s="30"/>
      <c r="B71" s="34"/>
      <c r="C71" s="26" t="s">
        <v>72</v>
      </c>
      <c r="D71" s="20"/>
      <c r="E71" s="26" t="s">
        <v>49</v>
      </c>
      <c r="F71" s="20"/>
      <c r="G71" s="29">
        <v>2.0</v>
      </c>
      <c r="H71" s="29">
        <v>2.0</v>
      </c>
      <c r="I71" s="29">
        <v>2.0</v>
      </c>
      <c r="J71" s="29">
        <v>2.0</v>
      </c>
      <c r="K71" s="29">
        <v>2.0</v>
      </c>
      <c r="L71" s="29">
        <v>2.0</v>
      </c>
      <c r="M71" s="29">
        <v>2.0</v>
      </c>
      <c r="N71" s="29">
        <v>2.0</v>
      </c>
      <c r="O71" s="38">
        <v>2.0</v>
      </c>
      <c r="P71" s="38">
        <v>2.0</v>
      </c>
      <c r="Q71" s="33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6.5" customHeight="1">
      <c r="A72" s="30"/>
      <c r="B72" s="34"/>
      <c r="C72" s="26" t="s">
        <v>73</v>
      </c>
      <c r="D72" s="20"/>
      <c r="E72" s="26" t="s">
        <v>52</v>
      </c>
      <c r="F72" s="20"/>
      <c r="G72" s="29">
        <v>3.0</v>
      </c>
      <c r="H72" s="29">
        <v>3.0</v>
      </c>
      <c r="I72" s="29">
        <v>3.0</v>
      </c>
      <c r="J72" s="29">
        <v>3.0</v>
      </c>
      <c r="K72" s="29">
        <v>3.0</v>
      </c>
      <c r="L72" s="29">
        <v>3.0</v>
      </c>
      <c r="M72" s="29">
        <v>3.0</v>
      </c>
      <c r="N72" s="29">
        <v>3.0</v>
      </c>
      <c r="O72" s="38">
        <v>3.0</v>
      </c>
      <c r="P72" s="38">
        <v>3.0</v>
      </c>
      <c r="Q72" s="33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16.5" customHeight="1">
      <c r="A73" s="30"/>
      <c r="B73" s="34"/>
      <c r="C73" s="26" t="s">
        <v>74</v>
      </c>
      <c r="D73" s="20"/>
      <c r="E73" s="26" t="s">
        <v>49</v>
      </c>
      <c r="F73" s="20"/>
      <c r="G73" s="29">
        <v>1.0</v>
      </c>
      <c r="H73" s="29">
        <v>1.0</v>
      </c>
      <c r="I73" s="29">
        <v>1.0</v>
      </c>
      <c r="J73" s="29">
        <v>1.0</v>
      </c>
      <c r="K73" s="29">
        <v>1.0</v>
      </c>
      <c r="L73" s="29">
        <v>1.0</v>
      </c>
      <c r="M73" s="29">
        <v>1.0</v>
      </c>
      <c r="N73" s="29">
        <v>1.0</v>
      </c>
      <c r="O73" s="38">
        <v>1.0</v>
      </c>
      <c r="P73" s="38">
        <v>1.0</v>
      </c>
      <c r="Q73" s="33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5" customHeight="1">
      <c r="A74" s="30"/>
      <c r="B74" s="34"/>
      <c r="C74" s="26" t="s">
        <v>75</v>
      </c>
      <c r="D74" s="20"/>
      <c r="E74" s="26" t="s">
        <v>49</v>
      </c>
      <c r="F74" s="20"/>
      <c r="G74" s="29">
        <v>2.0</v>
      </c>
      <c r="H74" s="29">
        <v>2.0</v>
      </c>
      <c r="I74" s="29">
        <v>2.0</v>
      </c>
      <c r="J74" s="29">
        <v>2.0</v>
      </c>
      <c r="K74" s="29">
        <v>2.0</v>
      </c>
      <c r="L74" s="29">
        <v>2.0</v>
      </c>
      <c r="M74" s="29">
        <v>2.0</v>
      </c>
      <c r="N74" s="29">
        <v>2.0</v>
      </c>
      <c r="O74" s="38">
        <v>2.0</v>
      </c>
      <c r="P74" s="38">
        <v>2.0</v>
      </c>
      <c r="Q74" s="33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5" customHeight="1">
      <c r="A75" s="30"/>
      <c r="B75" s="34"/>
      <c r="C75" s="26" t="s">
        <v>76</v>
      </c>
      <c r="D75" s="20"/>
      <c r="E75" s="26" t="s">
        <v>52</v>
      </c>
      <c r="F75" s="20"/>
      <c r="G75" s="29">
        <v>4.0</v>
      </c>
      <c r="H75" s="29">
        <v>2.0</v>
      </c>
      <c r="I75" s="29">
        <v>2.0</v>
      </c>
      <c r="J75" s="29">
        <v>2.0</v>
      </c>
      <c r="K75" s="29">
        <v>2.0</v>
      </c>
      <c r="L75" s="29">
        <v>2.0</v>
      </c>
      <c r="M75" s="29">
        <v>2.0</v>
      </c>
      <c r="N75" s="29">
        <v>2.0</v>
      </c>
      <c r="O75" s="38">
        <v>2.0</v>
      </c>
      <c r="P75" s="38">
        <v>2.0</v>
      </c>
      <c r="Q75" s="33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5" customHeight="1">
      <c r="A76" s="30"/>
      <c r="B76" s="34"/>
      <c r="C76" s="26" t="s">
        <v>77</v>
      </c>
      <c r="D76" s="20"/>
      <c r="E76" s="26" t="s">
        <v>49</v>
      </c>
      <c r="F76" s="20"/>
      <c r="G76" s="29">
        <v>1.0</v>
      </c>
      <c r="H76" s="29">
        <v>1.0</v>
      </c>
      <c r="I76" s="29">
        <v>1.0</v>
      </c>
      <c r="J76" s="29">
        <v>1.0</v>
      </c>
      <c r="K76" s="29">
        <v>1.0</v>
      </c>
      <c r="L76" s="29">
        <v>1.0</v>
      </c>
      <c r="M76" s="29">
        <v>1.0</v>
      </c>
      <c r="N76" s="29">
        <v>1.0</v>
      </c>
      <c r="O76" s="38">
        <v>1.0</v>
      </c>
      <c r="P76" s="38">
        <v>1.0</v>
      </c>
      <c r="Q76" s="38">
        <v>1.0</v>
      </c>
      <c r="R76" s="33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5" customHeight="1">
      <c r="A77" s="30"/>
      <c r="B77" s="34"/>
      <c r="C77" s="26" t="s">
        <v>78</v>
      </c>
      <c r="D77" s="20"/>
      <c r="E77" s="26" t="s">
        <v>49</v>
      </c>
      <c r="F77" s="20"/>
      <c r="G77" s="29">
        <v>2.0</v>
      </c>
      <c r="H77" s="29">
        <v>2.0</v>
      </c>
      <c r="I77" s="29">
        <v>2.0</v>
      </c>
      <c r="J77" s="29">
        <v>2.0</v>
      </c>
      <c r="K77" s="29">
        <v>2.0</v>
      </c>
      <c r="L77" s="29">
        <v>2.0</v>
      </c>
      <c r="M77" s="29">
        <v>2.0</v>
      </c>
      <c r="N77" s="29">
        <v>2.0</v>
      </c>
      <c r="O77" s="38">
        <v>2.0</v>
      </c>
      <c r="P77" s="38">
        <v>2.0</v>
      </c>
      <c r="Q77" s="38">
        <v>2.0</v>
      </c>
      <c r="R77" s="33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5" customHeight="1">
      <c r="A78" s="30"/>
      <c r="B78" s="34"/>
      <c r="C78" s="26" t="s">
        <v>79</v>
      </c>
      <c r="D78" s="20"/>
      <c r="E78" s="26" t="s">
        <v>52</v>
      </c>
      <c r="F78" s="20"/>
      <c r="G78" s="29">
        <v>2.0</v>
      </c>
      <c r="H78" s="29">
        <v>2.0</v>
      </c>
      <c r="I78" s="29">
        <v>2.0</v>
      </c>
      <c r="J78" s="29">
        <v>2.0</v>
      </c>
      <c r="K78" s="29">
        <v>2.0</v>
      </c>
      <c r="L78" s="29">
        <v>2.0</v>
      </c>
      <c r="M78" s="29">
        <v>2.0</v>
      </c>
      <c r="N78" s="29">
        <v>2.0</v>
      </c>
      <c r="O78" s="38">
        <v>2.0</v>
      </c>
      <c r="P78" s="38">
        <v>2.0</v>
      </c>
      <c r="Q78" s="38">
        <v>2.0</v>
      </c>
      <c r="R78" s="33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5" customHeight="1">
      <c r="A79" s="30"/>
      <c r="B79" s="34"/>
      <c r="C79" s="26" t="s">
        <v>80</v>
      </c>
      <c r="D79" s="20"/>
      <c r="E79" s="26" t="s">
        <v>49</v>
      </c>
      <c r="F79" s="20"/>
      <c r="G79" s="29">
        <v>1.0</v>
      </c>
      <c r="H79" s="29">
        <v>1.0</v>
      </c>
      <c r="I79" s="29">
        <v>1.0</v>
      </c>
      <c r="J79" s="29">
        <v>1.0</v>
      </c>
      <c r="K79" s="29">
        <v>1.0</v>
      </c>
      <c r="L79" s="29">
        <v>1.0</v>
      </c>
      <c r="M79" s="29">
        <v>1.0</v>
      </c>
      <c r="N79" s="29">
        <v>1.0</v>
      </c>
      <c r="O79" s="38">
        <v>1.0</v>
      </c>
      <c r="P79" s="38">
        <v>1.0</v>
      </c>
      <c r="Q79" s="38">
        <v>1.0</v>
      </c>
      <c r="R79" s="33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5" customHeight="1">
      <c r="A80" s="30"/>
      <c r="B80" s="34"/>
      <c r="C80" s="26" t="s">
        <v>81</v>
      </c>
      <c r="D80" s="20"/>
      <c r="E80" s="26" t="s">
        <v>49</v>
      </c>
      <c r="F80" s="20"/>
      <c r="G80" s="29">
        <v>2.0</v>
      </c>
      <c r="H80" s="29">
        <v>2.0</v>
      </c>
      <c r="I80" s="29">
        <v>2.0</v>
      </c>
      <c r="J80" s="29">
        <v>2.0</v>
      </c>
      <c r="K80" s="29">
        <v>2.0</v>
      </c>
      <c r="L80" s="29">
        <v>2.0</v>
      </c>
      <c r="M80" s="29">
        <v>2.0</v>
      </c>
      <c r="N80" s="29">
        <v>2.0</v>
      </c>
      <c r="O80" s="38">
        <v>2.0</v>
      </c>
      <c r="P80" s="38">
        <v>2.0</v>
      </c>
      <c r="Q80" s="38">
        <v>2.0</v>
      </c>
      <c r="R80" s="33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5" customHeight="1">
      <c r="A81" s="30"/>
      <c r="B81" s="34"/>
      <c r="C81" s="26" t="s">
        <v>82</v>
      </c>
      <c r="D81" s="20"/>
      <c r="E81" s="26" t="s">
        <v>52</v>
      </c>
      <c r="F81" s="20"/>
      <c r="G81" s="29">
        <v>2.0</v>
      </c>
      <c r="H81" s="29">
        <v>2.0</v>
      </c>
      <c r="I81" s="29">
        <v>2.0</v>
      </c>
      <c r="J81" s="29">
        <v>2.0</v>
      </c>
      <c r="K81" s="29">
        <v>2.0</v>
      </c>
      <c r="L81" s="29">
        <v>2.0</v>
      </c>
      <c r="M81" s="29">
        <v>2.0</v>
      </c>
      <c r="N81" s="29">
        <v>2.0</v>
      </c>
      <c r="O81" s="38">
        <v>2.0</v>
      </c>
      <c r="P81" s="38">
        <v>2.0</v>
      </c>
      <c r="Q81" s="38">
        <v>2.0</v>
      </c>
      <c r="R81" s="33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5" customHeight="1">
      <c r="A82" s="30"/>
      <c r="B82" s="34"/>
      <c r="C82" s="26" t="s">
        <v>83</v>
      </c>
      <c r="D82" s="20"/>
      <c r="E82" s="26" t="s">
        <v>49</v>
      </c>
      <c r="F82" s="20"/>
      <c r="G82" s="29">
        <v>1.0</v>
      </c>
      <c r="H82" s="29">
        <v>1.0</v>
      </c>
      <c r="I82" s="29">
        <v>1.0</v>
      </c>
      <c r="J82" s="29">
        <v>1.0</v>
      </c>
      <c r="K82" s="29">
        <v>1.0</v>
      </c>
      <c r="L82" s="29">
        <v>1.0</v>
      </c>
      <c r="M82" s="29">
        <v>1.0</v>
      </c>
      <c r="N82" s="29">
        <v>1.0</v>
      </c>
      <c r="O82" s="38">
        <v>1.0</v>
      </c>
      <c r="P82" s="38">
        <v>1.0</v>
      </c>
      <c r="Q82" s="38">
        <v>1.0</v>
      </c>
      <c r="R82" s="33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5" customHeight="1">
      <c r="A83" s="30"/>
      <c r="B83" s="34"/>
      <c r="C83" s="26" t="s">
        <v>84</v>
      </c>
      <c r="D83" s="20"/>
      <c r="E83" s="26" t="s">
        <v>49</v>
      </c>
      <c r="F83" s="20"/>
      <c r="G83" s="29">
        <v>2.0</v>
      </c>
      <c r="H83" s="29">
        <v>2.0</v>
      </c>
      <c r="I83" s="29">
        <v>2.0</v>
      </c>
      <c r="J83" s="29">
        <v>2.0</v>
      </c>
      <c r="K83" s="29">
        <v>2.0</v>
      </c>
      <c r="L83" s="29">
        <v>2.0</v>
      </c>
      <c r="M83" s="29">
        <v>2.0</v>
      </c>
      <c r="N83" s="29">
        <v>2.0</v>
      </c>
      <c r="O83" s="38">
        <v>2.0</v>
      </c>
      <c r="P83" s="38">
        <v>2.0</v>
      </c>
      <c r="Q83" s="38">
        <v>2.0</v>
      </c>
      <c r="R83" s="33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5" customHeight="1">
      <c r="A84" s="30"/>
      <c r="B84" s="36"/>
      <c r="C84" s="26" t="s">
        <v>85</v>
      </c>
      <c r="D84" s="20"/>
      <c r="E84" s="26" t="s">
        <v>52</v>
      </c>
      <c r="F84" s="20"/>
      <c r="G84" s="29">
        <v>3.0</v>
      </c>
      <c r="H84" s="29">
        <v>3.0</v>
      </c>
      <c r="I84" s="29">
        <v>3.0</v>
      </c>
      <c r="J84" s="29">
        <v>3.0</v>
      </c>
      <c r="K84" s="29">
        <v>3.0</v>
      </c>
      <c r="L84" s="29">
        <v>3.0</v>
      </c>
      <c r="M84" s="29">
        <v>3.0</v>
      </c>
      <c r="N84" s="29">
        <v>3.0</v>
      </c>
      <c r="O84" s="38">
        <v>3.0</v>
      </c>
      <c r="P84" s="38">
        <v>3.0</v>
      </c>
      <c r="Q84" s="38">
        <v>3.0</v>
      </c>
      <c r="R84" s="33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5" customHeight="1">
      <c r="A85" s="30"/>
      <c r="B85" s="32" t="s">
        <v>86</v>
      </c>
      <c r="C85" s="26" t="s">
        <v>87</v>
      </c>
      <c r="D85" s="20"/>
      <c r="E85" s="26" t="s">
        <v>27</v>
      </c>
      <c r="F85" s="20"/>
      <c r="G85" s="29">
        <v>2.0</v>
      </c>
      <c r="H85" s="29">
        <v>2.0</v>
      </c>
      <c r="I85" s="29">
        <v>2.0</v>
      </c>
      <c r="J85" s="29">
        <v>2.0</v>
      </c>
      <c r="K85" s="29">
        <v>2.0</v>
      </c>
      <c r="L85" s="29">
        <v>2.0</v>
      </c>
      <c r="M85" s="29">
        <v>2.0</v>
      </c>
      <c r="N85" s="29">
        <v>2.0</v>
      </c>
      <c r="O85" s="38">
        <v>2.0</v>
      </c>
      <c r="P85" s="38">
        <v>2.0</v>
      </c>
      <c r="Q85" s="38">
        <v>2.0</v>
      </c>
      <c r="R85" s="38">
        <v>2.0</v>
      </c>
      <c r="S85" s="33">
        <v>0.0</v>
      </c>
      <c r="T85" s="38">
        <v>0.0</v>
      </c>
      <c r="U85" s="38">
        <v>0.0</v>
      </c>
      <c r="V85" s="38">
        <v>0.0</v>
      </c>
      <c r="W85" s="38">
        <v>0.0</v>
      </c>
      <c r="X85" s="38">
        <v>0.0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6.5" customHeight="1">
      <c r="A86" s="30"/>
      <c r="B86" s="34"/>
      <c r="C86" s="26" t="s">
        <v>88</v>
      </c>
      <c r="D86" s="20"/>
      <c r="E86" s="39" t="s">
        <v>44</v>
      </c>
      <c r="F86" s="20"/>
      <c r="G86" s="29">
        <v>1.0</v>
      </c>
      <c r="H86" s="29">
        <v>1.0</v>
      </c>
      <c r="I86" s="29">
        <v>1.0</v>
      </c>
      <c r="J86" s="29">
        <v>1.0</v>
      </c>
      <c r="K86" s="29">
        <v>1.0</v>
      </c>
      <c r="L86" s="29">
        <v>1.0</v>
      </c>
      <c r="M86" s="29">
        <v>1.0</v>
      </c>
      <c r="N86" s="29">
        <v>1.0</v>
      </c>
      <c r="O86" s="38">
        <v>1.0</v>
      </c>
      <c r="P86" s="38">
        <v>1.0</v>
      </c>
      <c r="Q86" s="38">
        <v>1.0</v>
      </c>
      <c r="R86" s="38">
        <v>1.0</v>
      </c>
      <c r="S86" s="33">
        <v>0.0</v>
      </c>
      <c r="T86" s="38">
        <v>0.0</v>
      </c>
      <c r="U86" s="38">
        <v>0.0</v>
      </c>
      <c r="V86" s="38">
        <v>0.0</v>
      </c>
      <c r="W86" s="38">
        <v>0.0</v>
      </c>
      <c r="X86" s="38">
        <v>0.0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6.5" customHeight="1">
      <c r="A87" s="30"/>
      <c r="B87" s="34"/>
      <c r="C87" s="26" t="s">
        <v>89</v>
      </c>
      <c r="D87" s="20"/>
      <c r="E87" s="26" t="s">
        <v>27</v>
      </c>
      <c r="F87" s="20"/>
      <c r="G87" s="29">
        <v>1.0</v>
      </c>
      <c r="H87" s="29">
        <v>3.0</v>
      </c>
      <c r="I87" s="29">
        <v>3.0</v>
      </c>
      <c r="J87" s="29">
        <v>3.0</v>
      </c>
      <c r="K87" s="29">
        <v>3.0</v>
      </c>
      <c r="L87" s="29">
        <v>3.0</v>
      </c>
      <c r="M87" s="29">
        <v>3.0</v>
      </c>
      <c r="N87" s="29">
        <v>3.0</v>
      </c>
      <c r="O87" s="38">
        <v>3.0</v>
      </c>
      <c r="P87" s="38">
        <v>3.0</v>
      </c>
      <c r="Q87" s="38">
        <v>3.0</v>
      </c>
      <c r="R87" s="38">
        <v>3.0</v>
      </c>
      <c r="S87" s="33">
        <v>0.0</v>
      </c>
      <c r="T87" s="38">
        <v>0.0</v>
      </c>
      <c r="U87" s="38">
        <v>0.0</v>
      </c>
      <c r="V87" s="38">
        <v>0.0</v>
      </c>
      <c r="W87" s="38">
        <v>0.0</v>
      </c>
      <c r="X87" s="38">
        <v>0.0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6.5" customHeight="1">
      <c r="A88" s="30"/>
      <c r="B88" s="34"/>
      <c r="C88" s="26" t="s">
        <v>90</v>
      </c>
      <c r="D88" s="20"/>
      <c r="E88" s="26" t="s">
        <v>44</v>
      </c>
      <c r="F88" s="20"/>
      <c r="G88" s="29">
        <v>1.0</v>
      </c>
      <c r="H88" s="29">
        <v>1.0</v>
      </c>
      <c r="I88" s="29">
        <v>1.0</v>
      </c>
      <c r="J88" s="29">
        <v>1.0</v>
      </c>
      <c r="K88" s="29">
        <v>1.0</v>
      </c>
      <c r="L88" s="29">
        <v>1.0</v>
      </c>
      <c r="M88" s="29">
        <v>1.0</v>
      </c>
      <c r="N88" s="29">
        <v>1.0</v>
      </c>
      <c r="O88" s="38">
        <v>1.0</v>
      </c>
      <c r="P88" s="38">
        <v>1.0</v>
      </c>
      <c r="Q88" s="38">
        <v>1.0</v>
      </c>
      <c r="R88" s="38">
        <v>1.0</v>
      </c>
      <c r="S88" s="33">
        <v>0.0</v>
      </c>
      <c r="T88" s="38">
        <v>0.0</v>
      </c>
      <c r="U88" s="38">
        <v>0.0</v>
      </c>
      <c r="V88" s="38">
        <v>0.0</v>
      </c>
      <c r="W88" s="38">
        <v>0.0</v>
      </c>
      <c r="X88" s="38">
        <v>0.0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6.5" customHeight="1">
      <c r="A89" s="30"/>
      <c r="B89" s="34"/>
      <c r="C89" s="26" t="s">
        <v>91</v>
      </c>
      <c r="D89" s="20"/>
      <c r="E89" s="26" t="s">
        <v>45</v>
      </c>
      <c r="F89" s="20"/>
      <c r="G89" s="29">
        <v>3.0</v>
      </c>
      <c r="H89" s="29">
        <v>3.0</v>
      </c>
      <c r="I89" s="29">
        <v>3.0</v>
      </c>
      <c r="J89" s="29">
        <v>3.0</v>
      </c>
      <c r="K89" s="29">
        <v>3.0</v>
      </c>
      <c r="L89" s="29">
        <v>3.0</v>
      </c>
      <c r="M89" s="29">
        <v>3.0</v>
      </c>
      <c r="N89" s="29">
        <v>3.0</v>
      </c>
      <c r="O89" s="38">
        <v>3.0</v>
      </c>
      <c r="P89" s="38">
        <v>3.0</v>
      </c>
      <c r="Q89" s="38">
        <v>3.0</v>
      </c>
      <c r="R89" s="38">
        <v>3.0</v>
      </c>
      <c r="S89" s="33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16.5" customHeight="1">
      <c r="A90" s="30"/>
      <c r="B90" s="34"/>
      <c r="C90" s="26" t="s">
        <v>92</v>
      </c>
      <c r="D90" s="20"/>
      <c r="E90" s="26" t="s">
        <v>44</v>
      </c>
      <c r="F90" s="20"/>
      <c r="G90" s="29">
        <v>1.0</v>
      </c>
      <c r="H90" s="29">
        <v>1.0</v>
      </c>
      <c r="I90" s="29">
        <v>1.0</v>
      </c>
      <c r="J90" s="29">
        <v>1.0</v>
      </c>
      <c r="K90" s="29">
        <v>1.0</v>
      </c>
      <c r="L90" s="29">
        <v>1.0</v>
      </c>
      <c r="M90" s="29">
        <v>1.0</v>
      </c>
      <c r="N90" s="29">
        <v>1.0</v>
      </c>
      <c r="O90" s="38">
        <v>1.0</v>
      </c>
      <c r="P90" s="38">
        <v>1.0</v>
      </c>
      <c r="Q90" s="38">
        <v>1.0</v>
      </c>
      <c r="R90" s="38">
        <v>1.0</v>
      </c>
      <c r="S90" s="33">
        <v>0.0</v>
      </c>
      <c r="T90" s="38">
        <v>0.0</v>
      </c>
      <c r="U90" s="38">
        <v>0.0</v>
      </c>
      <c r="V90" s="38">
        <v>0.0</v>
      </c>
      <c r="W90" s="38">
        <v>0.0</v>
      </c>
      <c r="X90" s="38">
        <v>0.0</v>
      </c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5" customHeight="1">
      <c r="A91" s="30"/>
      <c r="B91" s="34"/>
      <c r="C91" s="26" t="s">
        <v>93</v>
      </c>
      <c r="D91" s="20"/>
      <c r="E91" s="26" t="s">
        <v>44</v>
      </c>
      <c r="F91" s="20"/>
      <c r="G91" s="29">
        <v>1.0</v>
      </c>
      <c r="H91" s="29">
        <v>1.0</v>
      </c>
      <c r="I91" s="29">
        <v>1.0</v>
      </c>
      <c r="J91" s="29">
        <v>1.0</v>
      </c>
      <c r="K91" s="29">
        <v>1.0</v>
      </c>
      <c r="L91" s="29">
        <v>1.0</v>
      </c>
      <c r="M91" s="29">
        <v>1.0</v>
      </c>
      <c r="N91" s="29">
        <v>1.0</v>
      </c>
      <c r="O91" s="38">
        <v>1.0</v>
      </c>
      <c r="P91" s="38">
        <v>1.0</v>
      </c>
      <c r="Q91" s="38">
        <v>1.0</v>
      </c>
      <c r="R91" s="38">
        <v>1.0</v>
      </c>
      <c r="S91" s="33">
        <v>0.0</v>
      </c>
      <c r="T91" s="38">
        <v>0.0</v>
      </c>
      <c r="U91" s="38">
        <v>0.0</v>
      </c>
      <c r="V91" s="38">
        <v>0.0</v>
      </c>
      <c r="W91" s="38">
        <v>0.0</v>
      </c>
      <c r="X91" s="38">
        <v>0.0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5" customHeight="1">
      <c r="A92" s="30"/>
      <c r="B92" s="34"/>
      <c r="C92" s="26" t="s">
        <v>94</v>
      </c>
      <c r="D92" s="20"/>
      <c r="E92" s="26" t="s">
        <v>27</v>
      </c>
      <c r="F92" s="20"/>
      <c r="G92" s="29">
        <v>2.0</v>
      </c>
      <c r="H92" s="29">
        <v>3.0</v>
      </c>
      <c r="I92" s="29">
        <v>3.0</v>
      </c>
      <c r="J92" s="29">
        <v>3.0</v>
      </c>
      <c r="K92" s="29">
        <v>3.0</v>
      </c>
      <c r="L92" s="29">
        <v>3.0</v>
      </c>
      <c r="M92" s="29">
        <v>3.0</v>
      </c>
      <c r="N92" s="29">
        <v>3.0</v>
      </c>
      <c r="O92" s="38">
        <v>3.0</v>
      </c>
      <c r="P92" s="38">
        <v>3.0</v>
      </c>
      <c r="Q92" s="38">
        <v>3.0</v>
      </c>
      <c r="R92" s="38">
        <v>3.0</v>
      </c>
      <c r="S92" s="33">
        <v>0.0</v>
      </c>
      <c r="T92" s="38">
        <v>0.0</v>
      </c>
      <c r="U92" s="38">
        <v>0.0</v>
      </c>
      <c r="V92" s="38">
        <v>0.0</v>
      </c>
      <c r="W92" s="38">
        <v>0.0</v>
      </c>
      <c r="X92" s="38">
        <v>0.0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5" customHeight="1">
      <c r="A93" s="30"/>
      <c r="B93" s="34"/>
      <c r="C93" s="28"/>
      <c r="D93" s="20"/>
      <c r="E93" s="28"/>
      <c r="F93" s="20"/>
      <c r="G93" s="29"/>
      <c r="H93" s="29"/>
      <c r="I93" s="29"/>
      <c r="J93" s="29"/>
      <c r="K93" s="29"/>
      <c r="L93" s="29"/>
      <c r="M93" s="29"/>
      <c r="N93" s="29"/>
      <c r="O93" s="38"/>
      <c r="P93" s="38"/>
      <c r="Q93" s="38"/>
      <c r="R93" s="38"/>
      <c r="S93" s="37">
        <v>1.0</v>
      </c>
      <c r="T93" s="38"/>
      <c r="U93" s="38"/>
      <c r="V93" s="38"/>
      <c r="W93" s="38"/>
      <c r="X93" s="38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5" customHeight="1">
      <c r="A94" s="30"/>
      <c r="B94" s="34"/>
      <c r="C94" s="26" t="s">
        <v>95</v>
      </c>
      <c r="D94" s="20"/>
      <c r="E94" s="26" t="s">
        <v>46</v>
      </c>
      <c r="F94" s="20"/>
      <c r="G94" s="29">
        <v>1.0</v>
      </c>
      <c r="H94" s="29">
        <v>1.0</v>
      </c>
      <c r="I94" s="29">
        <v>1.0</v>
      </c>
      <c r="J94" s="29">
        <v>1.0</v>
      </c>
      <c r="K94" s="29">
        <v>1.0</v>
      </c>
      <c r="L94" s="29">
        <v>1.0</v>
      </c>
      <c r="M94" s="29">
        <v>1.0</v>
      </c>
      <c r="N94" s="29">
        <v>1.0</v>
      </c>
      <c r="O94" s="38">
        <v>1.0</v>
      </c>
      <c r="P94" s="38">
        <v>1.0</v>
      </c>
      <c r="Q94" s="38">
        <v>1.0</v>
      </c>
      <c r="R94" s="38">
        <v>1.0</v>
      </c>
      <c r="S94" s="33">
        <v>0.0</v>
      </c>
      <c r="T94" s="38">
        <v>0.0</v>
      </c>
      <c r="U94" s="38">
        <v>0.0</v>
      </c>
      <c r="V94" s="38">
        <v>0.0</v>
      </c>
      <c r="W94" s="38">
        <v>0.0</v>
      </c>
      <c r="X94" s="38">
        <v>0.0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5" customHeight="1">
      <c r="A95" s="30"/>
      <c r="B95" s="34"/>
      <c r="C95" s="26" t="s">
        <v>96</v>
      </c>
      <c r="D95" s="20"/>
      <c r="E95" s="26" t="s">
        <v>44</v>
      </c>
      <c r="F95" s="20"/>
      <c r="G95" s="29">
        <v>1.0</v>
      </c>
      <c r="H95" s="29">
        <v>1.0</v>
      </c>
      <c r="I95" s="29">
        <v>1.0</v>
      </c>
      <c r="J95" s="29">
        <v>1.0</v>
      </c>
      <c r="K95" s="29">
        <v>1.0</v>
      </c>
      <c r="L95" s="29">
        <v>1.0</v>
      </c>
      <c r="M95" s="29">
        <v>1.0</v>
      </c>
      <c r="N95" s="29">
        <v>1.0</v>
      </c>
      <c r="O95" s="38">
        <v>1.0</v>
      </c>
      <c r="P95" s="38">
        <v>1.0</v>
      </c>
      <c r="Q95" s="38">
        <v>1.0</v>
      </c>
      <c r="R95" s="38">
        <v>1.0</v>
      </c>
      <c r="S95" s="33">
        <v>0.0</v>
      </c>
      <c r="T95" s="38">
        <v>0.0</v>
      </c>
      <c r="U95" s="38">
        <v>0.0</v>
      </c>
      <c r="V95" s="38">
        <v>0.0</v>
      </c>
      <c r="W95" s="38">
        <v>0.0</v>
      </c>
      <c r="X95" s="38">
        <v>0.0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5" customHeight="1">
      <c r="A96" s="30"/>
      <c r="B96" s="34"/>
      <c r="C96" s="40" t="s">
        <v>97</v>
      </c>
      <c r="D96" s="20"/>
      <c r="E96" s="26" t="s">
        <v>45</v>
      </c>
      <c r="F96" s="20"/>
      <c r="G96" s="29">
        <v>2.0</v>
      </c>
      <c r="H96" s="29">
        <v>2.0</v>
      </c>
      <c r="I96" s="29">
        <v>2.0</v>
      </c>
      <c r="J96" s="29">
        <v>2.0</v>
      </c>
      <c r="K96" s="29">
        <v>2.0</v>
      </c>
      <c r="L96" s="29">
        <v>2.0</v>
      </c>
      <c r="M96" s="29">
        <v>2.0</v>
      </c>
      <c r="N96" s="29">
        <v>2.0</v>
      </c>
      <c r="O96" s="38">
        <v>2.0</v>
      </c>
      <c r="P96" s="38">
        <v>2.0</v>
      </c>
      <c r="Q96" s="38">
        <v>2.0</v>
      </c>
      <c r="R96" s="38">
        <v>2.0</v>
      </c>
      <c r="S96" s="33">
        <v>0.0</v>
      </c>
      <c r="T96" s="38">
        <v>0.0</v>
      </c>
      <c r="U96" s="38">
        <v>0.0</v>
      </c>
      <c r="V96" s="38">
        <v>0.0</v>
      </c>
      <c r="W96" s="38">
        <v>0.0</v>
      </c>
      <c r="X96" s="38">
        <v>0.0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5" customHeight="1">
      <c r="A97" s="30"/>
      <c r="B97" s="36"/>
      <c r="C97" s="40" t="s">
        <v>98</v>
      </c>
      <c r="D97" s="20"/>
      <c r="E97" s="26" t="s">
        <v>44</v>
      </c>
      <c r="F97" s="20"/>
      <c r="G97" s="29">
        <v>1.0</v>
      </c>
      <c r="H97" s="29">
        <v>1.0</v>
      </c>
      <c r="I97" s="29">
        <v>1.0</v>
      </c>
      <c r="J97" s="29">
        <v>1.0</v>
      </c>
      <c r="K97" s="29">
        <v>1.0</v>
      </c>
      <c r="L97" s="29">
        <v>1.0</v>
      </c>
      <c r="M97" s="29">
        <v>1.0</v>
      </c>
      <c r="N97" s="29">
        <v>1.0</v>
      </c>
      <c r="O97" s="38">
        <v>1.0</v>
      </c>
      <c r="P97" s="38">
        <v>1.0</v>
      </c>
      <c r="Q97" s="38">
        <v>1.0</v>
      </c>
      <c r="R97" s="38">
        <v>1.0</v>
      </c>
      <c r="S97" s="33">
        <v>0.0</v>
      </c>
      <c r="T97" s="38">
        <v>0.0</v>
      </c>
      <c r="U97" s="38">
        <v>0.0</v>
      </c>
      <c r="V97" s="38">
        <v>0.0</v>
      </c>
      <c r="W97" s="38">
        <v>0.0</v>
      </c>
      <c r="X97" s="38">
        <v>0.0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5" customHeight="1">
      <c r="A98" s="30"/>
      <c r="B98" s="41" t="s">
        <v>99</v>
      </c>
      <c r="C98" s="26" t="s">
        <v>100</v>
      </c>
      <c r="D98" s="20"/>
      <c r="E98" s="26" t="s">
        <v>27</v>
      </c>
      <c r="F98" s="20"/>
      <c r="G98" s="29">
        <v>1.0</v>
      </c>
      <c r="H98" s="29">
        <v>1.0</v>
      </c>
      <c r="I98" s="29">
        <v>1.0</v>
      </c>
      <c r="J98" s="29">
        <v>1.0</v>
      </c>
      <c r="K98" s="29">
        <v>1.0</v>
      </c>
      <c r="L98" s="29">
        <v>1.0</v>
      </c>
      <c r="M98" s="29">
        <v>1.0</v>
      </c>
      <c r="N98" s="29">
        <v>1.0</v>
      </c>
      <c r="O98" s="38">
        <v>1.0</v>
      </c>
      <c r="P98" s="38">
        <v>1.0</v>
      </c>
      <c r="Q98" s="38">
        <v>1.0</v>
      </c>
      <c r="R98" s="38">
        <v>1.0</v>
      </c>
      <c r="S98" s="38">
        <v>1.0</v>
      </c>
      <c r="T98" s="33">
        <v>0.0</v>
      </c>
      <c r="U98" s="38">
        <v>0.0</v>
      </c>
      <c r="V98" s="38">
        <v>0.0</v>
      </c>
      <c r="W98" s="38">
        <v>0.0</v>
      </c>
      <c r="X98" s="38">
        <v>0.0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5" customHeight="1">
      <c r="A99" s="30"/>
      <c r="B99" s="34"/>
      <c r="C99" s="26" t="s">
        <v>101</v>
      </c>
      <c r="D99" s="20"/>
      <c r="E99" s="26" t="s">
        <v>27</v>
      </c>
      <c r="F99" s="20"/>
      <c r="G99" s="29">
        <v>1.0</v>
      </c>
      <c r="H99" s="29">
        <v>1.0</v>
      </c>
      <c r="I99" s="29">
        <v>1.0</v>
      </c>
      <c r="J99" s="29">
        <v>1.0</v>
      </c>
      <c r="K99" s="29">
        <v>1.0</v>
      </c>
      <c r="L99" s="29">
        <v>1.0</v>
      </c>
      <c r="M99" s="29">
        <v>1.0</v>
      </c>
      <c r="N99" s="29">
        <v>1.0</v>
      </c>
      <c r="O99" s="38">
        <v>1.0</v>
      </c>
      <c r="P99" s="38">
        <v>1.0</v>
      </c>
      <c r="Q99" s="38">
        <v>1.0</v>
      </c>
      <c r="R99" s="38">
        <v>1.0</v>
      </c>
      <c r="S99" s="38">
        <v>1.0</v>
      </c>
      <c r="T99" s="33">
        <v>0.0</v>
      </c>
      <c r="U99" s="38">
        <v>0.0</v>
      </c>
      <c r="V99" s="38">
        <v>0.0</v>
      </c>
      <c r="W99" s="38">
        <v>0.0</v>
      </c>
      <c r="X99" s="38">
        <v>0.0</v>
      </c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5" customHeight="1">
      <c r="A100" s="30"/>
      <c r="B100" s="34"/>
      <c r="C100" s="26" t="s">
        <v>102</v>
      </c>
      <c r="D100" s="20"/>
      <c r="E100" s="26" t="s">
        <v>27</v>
      </c>
      <c r="F100" s="20"/>
      <c r="G100" s="29">
        <v>2.0</v>
      </c>
      <c r="H100" s="29">
        <v>2.0</v>
      </c>
      <c r="I100" s="29">
        <v>2.0</v>
      </c>
      <c r="J100" s="29">
        <v>2.0</v>
      </c>
      <c r="K100" s="29">
        <v>2.0</v>
      </c>
      <c r="L100" s="29">
        <v>2.0</v>
      </c>
      <c r="M100" s="29">
        <v>2.0</v>
      </c>
      <c r="N100" s="29">
        <v>2.0</v>
      </c>
      <c r="O100" s="38">
        <v>2.0</v>
      </c>
      <c r="P100" s="38">
        <v>2.0</v>
      </c>
      <c r="Q100" s="38">
        <v>2.0</v>
      </c>
      <c r="R100" s="38">
        <v>2.0</v>
      </c>
      <c r="S100" s="38">
        <v>2.0</v>
      </c>
      <c r="T100" s="33">
        <v>0.0</v>
      </c>
      <c r="U100" s="38">
        <v>0.0</v>
      </c>
      <c r="V100" s="38">
        <v>0.0</v>
      </c>
      <c r="W100" s="38">
        <v>0.0</v>
      </c>
      <c r="X100" s="38">
        <v>0.0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5" customHeight="1">
      <c r="A101" s="30"/>
      <c r="B101" s="34"/>
      <c r="C101" s="26" t="s">
        <v>103</v>
      </c>
      <c r="D101" s="20"/>
      <c r="E101" s="26" t="s">
        <v>104</v>
      </c>
      <c r="F101" s="20"/>
      <c r="G101" s="29">
        <v>1.0</v>
      </c>
      <c r="H101" s="29">
        <v>1.0</v>
      </c>
      <c r="I101" s="29">
        <v>1.0</v>
      </c>
      <c r="J101" s="29">
        <v>1.0</v>
      </c>
      <c r="K101" s="29">
        <v>1.0</v>
      </c>
      <c r="L101" s="29">
        <v>1.0</v>
      </c>
      <c r="M101" s="29">
        <v>1.0</v>
      </c>
      <c r="N101" s="29">
        <v>1.0</v>
      </c>
      <c r="O101" s="38">
        <v>1.0</v>
      </c>
      <c r="P101" s="38">
        <v>1.0</v>
      </c>
      <c r="Q101" s="38">
        <v>1.0</v>
      </c>
      <c r="R101" s="38">
        <v>1.0</v>
      </c>
      <c r="S101" s="38">
        <v>1.0</v>
      </c>
      <c r="T101" s="33">
        <v>0.0</v>
      </c>
      <c r="U101" s="38">
        <v>0.0</v>
      </c>
      <c r="V101" s="38">
        <v>0.0</v>
      </c>
      <c r="W101" s="38">
        <v>0.0</v>
      </c>
      <c r="X101" s="38">
        <v>0.0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5" customHeight="1">
      <c r="A102" s="30"/>
      <c r="B102" s="34"/>
      <c r="C102" s="26" t="s">
        <v>105</v>
      </c>
      <c r="D102" s="20"/>
      <c r="E102" s="26" t="s">
        <v>45</v>
      </c>
      <c r="F102" s="20"/>
      <c r="G102" s="29">
        <v>2.0</v>
      </c>
      <c r="H102" s="29">
        <v>2.0</v>
      </c>
      <c r="I102" s="29">
        <v>2.0</v>
      </c>
      <c r="J102" s="29">
        <v>2.0</v>
      </c>
      <c r="K102" s="29">
        <v>2.0</v>
      </c>
      <c r="L102" s="29">
        <v>2.0</v>
      </c>
      <c r="M102" s="29">
        <v>2.0</v>
      </c>
      <c r="N102" s="29">
        <v>2.0</v>
      </c>
      <c r="O102" s="38">
        <v>2.0</v>
      </c>
      <c r="P102" s="38">
        <v>2.0</v>
      </c>
      <c r="Q102" s="38">
        <v>2.0</v>
      </c>
      <c r="R102" s="38">
        <v>2.0</v>
      </c>
      <c r="S102" s="38">
        <v>2.0</v>
      </c>
      <c r="T102" s="33">
        <v>0.0</v>
      </c>
      <c r="U102" s="38">
        <v>0.0</v>
      </c>
      <c r="V102" s="38">
        <v>0.0</v>
      </c>
      <c r="W102" s="38">
        <v>0.0</v>
      </c>
      <c r="X102" s="38">
        <v>0.0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6.5" customHeight="1">
      <c r="A103" s="30"/>
      <c r="B103" s="34"/>
      <c r="C103" s="26" t="s">
        <v>106</v>
      </c>
      <c r="D103" s="20"/>
      <c r="E103" s="26" t="s">
        <v>49</v>
      </c>
      <c r="F103" s="20"/>
      <c r="G103" s="29">
        <v>1.0</v>
      </c>
      <c r="H103" s="29">
        <v>1.0</v>
      </c>
      <c r="I103" s="29">
        <v>1.0</v>
      </c>
      <c r="J103" s="29">
        <v>1.0</v>
      </c>
      <c r="K103" s="29">
        <v>1.0</v>
      </c>
      <c r="L103" s="29">
        <v>1.0</v>
      </c>
      <c r="M103" s="29">
        <v>1.0</v>
      </c>
      <c r="N103" s="29">
        <v>1.0</v>
      </c>
      <c r="O103" s="29">
        <v>1.0</v>
      </c>
      <c r="P103" s="29">
        <v>1.0</v>
      </c>
      <c r="Q103" s="29">
        <v>1.0</v>
      </c>
      <c r="R103" s="29">
        <v>1.0</v>
      </c>
      <c r="S103" s="29">
        <v>1.0</v>
      </c>
      <c r="T103" s="33">
        <v>0.0</v>
      </c>
      <c r="U103" s="38">
        <v>0.0</v>
      </c>
      <c r="V103" s="38">
        <v>0.0</v>
      </c>
      <c r="W103" s="38">
        <v>0.0</v>
      </c>
      <c r="X103" s="29">
        <v>0.0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6.5" customHeight="1">
      <c r="A104" s="30"/>
      <c r="B104" s="34"/>
      <c r="C104" s="26" t="s">
        <v>107</v>
      </c>
      <c r="D104" s="20"/>
      <c r="E104" s="26" t="s">
        <v>104</v>
      </c>
      <c r="F104" s="20"/>
      <c r="G104" s="29">
        <v>1.0</v>
      </c>
      <c r="H104" s="29">
        <v>1.0</v>
      </c>
      <c r="I104" s="29">
        <v>1.0</v>
      </c>
      <c r="J104" s="29">
        <v>1.0</v>
      </c>
      <c r="K104" s="29">
        <v>1.0</v>
      </c>
      <c r="L104" s="29">
        <v>1.0</v>
      </c>
      <c r="M104" s="29">
        <v>1.0</v>
      </c>
      <c r="N104" s="29">
        <v>1.0</v>
      </c>
      <c r="O104" s="29">
        <v>1.0</v>
      </c>
      <c r="P104" s="29">
        <v>1.0</v>
      </c>
      <c r="Q104" s="29">
        <v>1.0</v>
      </c>
      <c r="R104" s="29">
        <v>1.0</v>
      </c>
      <c r="S104" s="29">
        <v>1.0</v>
      </c>
      <c r="T104" s="33">
        <v>0.0</v>
      </c>
      <c r="U104" s="38">
        <v>0.0</v>
      </c>
      <c r="V104" s="38">
        <v>0.0</v>
      </c>
      <c r="W104" s="38">
        <v>0.0</v>
      </c>
      <c r="X104" s="29">
        <v>0.0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6.5" customHeight="1">
      <c r="A105" s="30"/>
      <c r="B105" s="34"/>
      <c r="C105" s="26" t="s">
        <v>108</v>
      </c>
      <c r="D105" s="20"/>
      <c r="E105" s="26" t="s">
        <v>27</v>
      </c>
      <c r="F105" s="20"/>
      <c r="G105" s="29">
        <v>1.0</v>
      </c>
      <c r="H105" s="29">
        <v>1.0</v>
      </c>
      <c r="I105" s="29">
        <v>1.0</v>
      </c>
      <c r="J105" s="29">
        <v>1.0</v>
      </c>
      <c r="K105" s="29">
        <v>1.0</v>
      </c>
      <c r="L105" s="29">
        <v>1.0</v>
      </c>
      <c r="M105" s="29">
        <v>1.0</v>
      </c>
      <c r="N105" s="29">
        <v>1.0</v>
      </c>
      <c r="O105" s="29">
        <v>1.0</v>
      </c>
      <c r="P105" s="29">
        <v>1.0</v>
      </c>
      <c r="Q105" s="29">
        <v>1.0</v>
      </c>
      <c r="R105" s="29">
        <v>1.0</v>
      </c>
      <c r="S105" s="29">
        <v>1.0</v>
      </c>
      <c r="T105" s="33">
        <v>0.0</v>
      </c>
      <c r="U105" s="38">
        <v>0.0</v>
      </c>
      <c r="V105" s="38">
        <v>0.0</v>
      </c>
      <c r="W105" s="38">
        <v>0.0</v>
      </c>
      <c r="X105" s="29">
        <v>0.0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6.5" customHeight="1">
      <c r="A106" s="30"/>
      <c r="B106" s="34"/>
      <c r="C106" s="26" t="s">
        <v>109</v>
      </c>
      <c r="D106" s="20"/>
      <c r="E106" s="26" t="s">
        <v>46</v>
      </c>
      <c r="F106" s="20"/>
      <c r="G106" s="29">
        <v>1.0</v>
      </c>
      <c r="H106" s="29">
        <v>1.0</v>
      </c>
      <c r="I106" s="29">
        <v>1.0</v>
      </c>
      <c r="J106" s="29">
        <v>1.0</v>
      </c>
      <c r="K106" s="29">
        <v>1.0</v>
      </c>
      <c r="L106" s="29">
        <v>1.0</v>
      </c>
      <c r="M106" s="29">
        <v>1.0</v>
      </c>
      <c r="N106" s="29">
        <v>1.0</v>
      </c>
      <c r="O106" s="29">
        <v>1.0</v>
      </c>
      <c r="P106" s="29">
        <v>1.0</v>
      </c>
      <c r="Q106" s="29">
        <v>1.0</v>
      </c>
      <c r="R106" s="29">
        <v>1.0</v>
      </c>
      <c r="S106" s="29">
        <v>1.0</v>
      </c>
      <c r="T106" s="33">
        <v>0.0</v>
      </c>
      <c r="U106" s="38">
        <v>0.0</v>
      </c>
      <c r="V106" s="38">
        <v>0.0</v>
      </c>
      <c r="W106" s="38">
        <v>0.0</v>
      </c>
      <c r="X106" s="29">
        <v>0.0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6.5" customHeight="1">
      <c r="A107" s="30"/>
      <c r="B107" s="34"/>
      <c r="C107" s="26" t="s">
        <v>110</v>
      </c>
      <c r="D107" s="20"/>
      <c r="E107" s="26" t="s">
        <v>46</v>
      </c>
      <c r="F107" s="20"/>
      <c r="G107" s="29">
        <v>1.0</v>
      </c>
      <c r="H107" s="29">
        <v>1.0</v>
      </c>
      <c r="I107" s="29">
        <v>1.0</v>
      </c>
      <c r="J107" s="29">
        <v>1.0</v>
      </c>
      <c r="K107" s="29">
        <v>1.0</v>
      </c>
      <c r="L107" s="29">
        <v>1.0</v>
      </c>
      <c r="M107" s="29">
        <v>1.0</v>
      </c>
      <c r="N107" s="29">
        <v>1.0</v>
      </c>
      <c r="O107" s="29">
        <v>1.0</v>
      </c>
      <c r="P107" s="29">
        <v>1.0</v>
      </c>
      <c r="Q107" s="29">
        <v>1.0</v>
      </c>
      <c r="R107" s="29">
        <v>1.0</v>
      </c>
      <c r="S107" s="29">
        <v>1.0</v>
      </c>
      <c r="T107" s="33">
        <v>0.0</v>
      </c>
      <c r="U107" s="38">
        <v>0.0</v>
      </c>
      <c r="V107" s="38">
        <v>0.0</v>
      </c>
      <c r="W107" s="38">
        <v>0.0</v>
      </c>
      <c r="X107" s="29">
        <v>0.0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6.5" customHeight="1">
      <c r="A108" s="30"/>
      <c r="B108" s="34"/>
      <c r="C108" s="26" t="s">
        <v>111</v>
      </c>
      <c r="D108" s="20"/>
      <c r="E108" s="26" t="s">
        <v>45</v>
      </c>
      <c r="F108" s="20"/>
      <c r="G108" s="29">
        <v>2.0</v>
      </c>
      <c r="H108" s="29">
        <v>2.0</v>
      </c>
      <c r="I108" s="29">
        <v>2.0</v>
      </c>
      <c r="J108" s="29">
        <v>2.0</v>
      </c>
      <c r="K108" s="29">
        <v>2.0</v>
      </c>
      <c r="L108" s="29">
        <v>2.0</v>
      </c>
      <c r="M108" s="29">
        <v>2.0</v>
      </c>
      <c r="N108" s="29">
        <v>2.0</v>
      </c>
      <c r="O108" s="29">
        <v>2.0</v>
      </c>
      <c r="P108" s="29">
        <v>2.0</v>
      </c>
      <c r="Q108" s="29">
        <v>2.0</v>
      </c>
      <c r="R108" s="29">
        <v>2.0</v>
      </c>
      <c r="S108" s="29">
        <v>2.0</v>
      </c>
      <c r="T108" s="33">
        <v>0.0</v>
      </c>
      <c r="U108" s="38">
        <v>0.0</v>
      </c>
      <c r="V108" s="38">
        <v>0.0</v>
      </c>
      <c r="W108" s="38">
        <v>0.0</v>
      </c>
      <c r="X108" s="29">
        <v>0.0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6.5" customHeight="1">
      <c r="A109" s="30"/>
      <c r="B109" s="36"/>
      <c r="C109" s="26" t="s">
        <v>112</v>
      </c>
      <c r="D109" s="20"/>
      <c r="E109" s="26" t="s">
        <v>104</v>
      </c>
      <c r="F109" s="20"/>
      <c r="G109" s="29">
        <v>1.0</v>
      </c>
      <c r="H109" s="29">
        <v>1.0</v>
      </c>
      <c r="I109" s="29">
        <v>1.0</v>
      </c>
      <c r="J109" s="29">
        <v>1.0</v>
      </c>
      <c r="K109" s="29">
        <v>1.0</v>
      </c>
      <c r="L109" s="29">
        <v>1.0</v>
      </c>
      <c r="M109" s="29">
        <v>1.0</v>
      </c>
      <c r="N109" s="29">
        <v>1.0</v>
      </c>
      <c r="O109" s="29">
        <v>1.0</v>
      </c>
      <c r="P109" s="29">
        <v>1.0</v>
      </c>
      <c r="Q109" s="29">
        <v>1.0</v>
      </c>
      <c r="R109" s="29">
        <v>1.0</v>
      </c>
      <c r="S109" s="29">
        <v>1.0</v>
      </c>
      <c r="T109" s="33">
        <v>0.0</v>
      </c>
      <c r="U109" s="38">
        <v>0.0</v>
      </c>
      <c r="V109" s="38">
        <v>0.0</v>
      </c>
      <c r="W109" s="38">
        <v>0.0</v>
      </c>
      <c r="X109" s="29">
        <v>0.0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6.5" customHeight="1">
      <c r="A110" s="30"/>
      <c r="B110" s="41" t="s">
        <v>113</v>
      </c>
      <c r="C110" s="26" t="s">
        <v>114</v>
      </c>
      <c r="D110" s="20"/>
      <c r="E110" s="26" t="s">
        <v>44</v>
      </c>
      <c r="F110" s="20"/>
      <c r="G110" s="29">
        <v>0.5</v>
      </c>
      <c r="H110" s="29">
        <v>0.5</v>
      </c>
      <c r="I110" s="29">
        <v>0.5</v>
      </c>
      <c r="J110" s="29">
        <v>0.5</v>
      </c>
      <c r="K110" s="29">
        <v>0.5</v>
      </c>
      <c r="L110" s="29">
        <v>0.5</v>
      </c>
      <c r="M110" s="29">
        <v>0.5</v>
      </c>
      <c r="N110" s="29">
        <v>0.5</v>
      </c>
      <c r="O110" s="29">
        <v>0.5</v>
      </c>
      <c r="P110" s="29">
        <v>0.5</v>
      </c>
      <c r="Q110" s="29">
        <v>0.5</v>
      </c>
      <c r="R110" s="29">
        <v>0.5</v>
      </c>
      <c r="S110" s="29">
        <v>0.5</v>
      </c>
      <c r="T110" s="29">
        <v>0.5</v>
      </c>
      <c r="U110" s="33">
        <v>0.0</v>
      </c>
      <c r="V110" s="29">
        <v>0.0</v>
      </c>
      <c r="W110" s="29">
        <v>0.0</v>
      </c>
      <c r="X110" s="29">
        <v>0.0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6.5" customHeight="1">
      <c r="A111" s="30"/>
      <c r="B111" s="34"/>
      <c r="C111" s="26" t="s">
        <v>115</v>
      </c>
      <c r="D111" s="20"/>
      <c r="E111" s="26" t="s">
        <v>44</v>
      </c>
      <c r="F111" s="20"/>
      <c r="G111" s="29">
        <v>0.5</v>
      </c>
      <c r="H111" s="29">
        <v>0.5</v>
      </c>
      <c r="I111" s="29">
        <v>0.5</v>
      </c>
      <c r="J111" s="29">
        <v>0.5</v>
      </c>
      <c r="K111" s="29">
        <v>0.5</v>
      </c>
      <c r="L111" s="29">
        <v>0.5</v>
      </c>
      <c r="M111" s="29">
        <v>0.5</v>
      </c>
      <c r="N111" s="29">
        <v>0.5</v>
      </c>
      <c r="O111" s="29">
        <v>0.5</v>
      </c>
      <c r="P111" s="29">
        <v>0.5</v>
      </c>
      <c r="Q111" s="29">
        <v>0.5</v>
      </c>
      <c r="R111" s="29">
        <v>0.5</v>
      </c>
      <c r="S111" s="29">
        <v>0.5</v>
      </c>
      <c r="T111" s="29">
        <v>0.5</v>
      </c>
      <c r="U111" s="33">
        <v>0.0</v>
      </c>
      <c r="V111" s="29">
        <v>0.0</v>
      </c>
      <c r="W111" s="29">
        <v>0.0</v>
      </c>
      <c r="X111" s="29">
        <v>0.0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6.5" customHeight="1">
      <c r="A112" s="30"/>
      <c r="B112" s="34"/>
      <c r="C112" s="26" t="s">
        <v>116</v>
      </c>
      <c r="D112" s="20"/>
      <c r="E112" s="26" t="s">
        <v>44</v>
      </c>
      <c r="F112" s="20"/>
      <c r="G112" s="29">
        <v>1.0</v>
      </c>
      <c r="H112" s="29">
        <v>1.0</v>
      </c>
      <c r="I112" s="29">
        <v>1.0</v>
      </c>
      <c r="J112" s="29">
        <v>1.0</v>
      </c>
      <c r="K112" s="29">
        <v>1.0</v>
      </c>
      <c r="L112" s="29">
        <v>1.0</v>
      </c>
      <c r="M112" s="29">
        <v>1.0</v>
      </c>
      <c r="N112" s="29">
        <v>1.0</v>
      </c>
      <c r="O112" s="29">
        <v>1.0</v>
      </c>
      <c r="P112" s="29">
        <v>1.0</v>
      </c>
      <c r="Q112" s="29">
        <v>1.0</v>
      </c>
      <c r="R112" s="29">
        <v>1.0</v>
      </c>
      <c r="S112" s="29">
        <v>1.0</v>
      </c>
      <c r="T112" s="29">
        <v>1.0</v>
      </c>
      <c r="U112" s="33">
        <v>0.0</v>
      </c>
      <c r="V112" s="29">
        <v>0.0</v>
      </c>
      <c r="W112" s="29">
        <v>0.0</v>
      </c>
      <c r="X112" s="29">
        <v>0.0</v>
      </c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6.5" customHeight="1">
      <c r="A113" s="30"/>
      <c r="B113" s="34"/>
      <c r="C113" s="26" t="s">
        <v>117</v>
      </c>
      <c r="D113" s="20"/>
      <c r="E113" s="26" t="s">
        <v>44</v>
      </c>
      <c r="F113" s="20"/>
      <c r="G113" s="29">
        <v>0.5</v>
      </c>
      <c r="H113" s="29">
        <v>0.5</v>
      </c>
      <c r="I113" s="29">
        <v>0.5</v>
      </c>
      <c r="J113" s="29">
        <v>0.5</v>
      </c>
      <c r="K113" s="29">
        <v>0.5</v>
      </c>
      <c r="L113" s="29">
        <v>0.5</v>
      </c>
      <c r="M113" s="29">
        <v>0.5</v>
      </c>
      <c r="N113" s="29">
        <v>0.5</v>
      </c>
      <c r="O113" s="29">
        <v>0.5</v>
      </c>
      <c r="P113" s="29">
        <v>0.5</v>
      </c>
      <c r="Q113" s="29">
        <v>0.5</v>
      </c>
      <c r="R113" s="29">
        <v>0.5</v>
      </c>
      <c r="S113" s="29">
        <v>0.5</v>
      </c>
      <c r="T113" s="29">
        <v>0.5</v>
      </c>
      <c r="U113" s="33">
        <v>0.0</v>
      </c>
      <c r="V113" s="29">
        <v>0.0</v>
      </c>
      <c r="W113" s="29">
        <v>0.0</v>
      </c>
      <c r="X113" s="29">
        <v>0.0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6.5" customHeight="1">
      <c r="A114" s="30"/>
      <c r="B114" s="34"/>
      <c r="C114" s="26" t="s">
        <v>118</v>
      </c>
      <c r="D114" s="20"/>
      <c r="E114" s="26" t="s">
        <v>44</v>
      </c>
      <c r="F114" s="20"/>
      <c r="G114" s="29">
        <v>1.5</v>
      </c>
      <c r="H114" s="29">
        <v>1.5</v>
      </c>
      <c r="I114" s="29">
        <v>1.5</v>
      </c>
      <c r="J114" s="29">
        <v>1.5</v>
      </c>
      <c r="K114" s="29">
        <v>1.5</v>
      </c>
      <c r="L114" s="29">
        <v>1.5</v>
      </c>
      <c r="M114" s="29">
        <v>1.5</v>
      </c>
      <c r="N114" s="29">
        <v>1.5</v>
      </c>
      <c r="O114" s="29">
        <v>1.5</v>
      </c>
      <c r="P114" s="29">
        <v>1.5</v>
      </c>
      <c r="Q114" s="29">
        <v>1.5</v>
      </c>
      <c r="R114" s="29">
        <v>1.5</v>
      </c>
      <c r="S114" s="29">
        <v>1.5</v>
      </c>
      <c r="T114" s="29">
        <v>1.5</v>
      </c>
      <c r="U114" s="33">
        <v>0.0</v>
      </c>
      <c r="V114" s="29">
        <v>0.0</v>
      </c>
      <c r="W114" s="29">
        <v>0.0</v>
      </c>
      <c r="X114" s="29">
        <v>0.0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ht="16.5" customHeight="1">
      <c r="A115" s="30"/>
      <c r="B115" s="34"/>
      <c r="C115" s="26" t="s">
        <v>119</v>
      </c>
      <c r="D115" s="20"/>
      <c r="E115" s="26" t="s">
        <v>44</v>
      </c>
      <c r="F115" s="20"/>
      <c r="G115" s="29">
        <v>0.5</v>
      </c>
      <c r="H115" s="29">
        <v>0.5</v>
      </c>
      <c r="I115" s="29">
        <v>0.5</v>
      </c>
      <c r="J115" s="29">
        <v>0.5</v>
      </c>
      <c r="K115" s="29">
        <v>0.5</v>
      </c>
      <c r="L115" s="29">
        <v>0.5</v>
      </c>
      <c r="M115" s="29">
        <v>0.5</v>
      </c>
      <c r="N115" s="29">
        <v>0.5</v>
      </c>
      <c r="O115" s="29">
        <v>0.5</v>
      </c>
      <c r="P115" s="29">
        <v>0.5</v>
      </c>
      <c r="Q115" s="29">
        <v>0.5</v>
      </c>
      <c r="R115" s="29">
        <v>0.5</v>
      </c>
      <c r="S115" s="29">
        <v>0.5</v>
      </c>
      <c r="T115" s="29">
        <v>0.5</v>
      </c>
      <c r="U115" s="29">
        <v>0.5</v>
      </c>
      <c r="V115" s="33">
        <v>0.0</v>
      </c>
      <c r="W115" s="29">
        <v>0.0</v>
      </c>
      <c r="X115" s="29">
        <v>0.0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16.5" customHeight="1">
      <c r="A116" s="30"/>
      <c r="B116" s="34"/>
      <c r="C116" s="26" t="s">
        <v>120</v>
      </c>
      <c r="D116" s="20"/>
      <c r="E116" s="26" t="s">
        <v>44</v>
      </c>
      <c r="F116" s="20"/>
      <c r="G116" s="29">
        <v>0.5</v>
      </c>
      <c r="H116" s="29">
        <v>0.5</v>
      </c>
      <c r="I116" s="29">
        <v>0.5</v>
      </c>
      <c r="J116" s="29">
        <v>0.5</v>
      </c>
      <c r="K116" s="29">
        <v>0.5</v>
      </c>
      <c r="L116" s="29">
        <v>0.5</v>
      </c>
      <c r="M116" s="29">
        <v>0.5</v>
      </c>
      <c r="N116" s="29">
        <v>0.5</v>
      </c>
      <c r="O116" s="29">
        <v>0.5</v>
      </c>
      <c r="P116" s="29">
        <v>0.5</v>
      </c>
      <c r="Q116" s="29">
        <v>0.5</v>
      </c>
      <c r="R116" s="29">
        <v>0.5</v>
      </c>
      <c r="S116" s="29">
        <v>0.5</v>
      </c>
      <c r="T116" s="29">
        <v>0.5</v>
      </c>
      <c r="U116" s="29">
        <v>0.5</v>
      </c>
      <c r="V116" s="33">
        <v>0.0</v>
      </c>
      <c r="W116" s="29">
        <v>0.0</v>
      </c>
      <c r="X116" s="29">
        <v>0.0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ht="16.5" customHeight="1">
      <c r="A117" s="30"/>
      <c r="B117" s="34"/>
      <c r="C117" s="26" t="s">
        <v>121</v>
      </c>
      <c r="D117" s="20"/>
      <c r="E117" s="26" t="s">
        <v>44</v>
      </c>
      <c r="F117" s="20"/>
      <c r="G117" s="29">
        <v>0.5</v>
      </c>
      <c r="H117" s="29">
        <v>0.5</v>
      </c>
      <c r="I117" s="29">
        <v>0.5</v>
      </c>
      <c r="J117" s="29">
        <v>0.5</v>
      </c>
      <c r="K117" s="29">
        <v>0.5</v>
      </c>
      <c r="L117" s="29">
        <v>0.5</v>
      </c>
      <c r="M117" s="29">
        <v>0.5</v>
      </c>
      <c r="N117" s="29">
        <v>0.5</v>
      </c>
      <c r="O117" s="29">
        <v>0.5</v>
      </c>
      <c r="P117" s="29">
        <v>0.5</v>
      </c>
      <c r="Q117" s="29">
        <v>0.5</v>
      </c>
      <c r="R117" s="29">
        <v>0.5</v>
      </c>
      <c r="S117" s="29">
        <v>0.5</v>
      </c>
      <c r="T117" s="29">
        <v>0.5</v>
      </c>
      <c r="U117" s="29">
        <v>0.5</v>
      </c>
      <c r="V117" s="33">
        <v>0.0</v>
      </c>
      <c r="W117" s="29">
        <v>0.0</v>
      </c>
      <c r="X117" s="29">
        <v>0.0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16.5" customHeight="1">
      <c r="A118" s="30"/>
      <c r="B118" s="34"/>
      <c r="C118" s="26" t="s">
        <v>122</v>
      </c>
      <c r="D118" s="20"/>
      <c r="E118" s="26" t="s">
        <v>44</v>
      </c>
      <c r="F118" s="20"/>
      <c r="G118" s="29">
        <v>0.5</v>
      </c>
      <c r="H118" s="29">
        <v>0.5</v>
      </c>
      <c r="I118" s="29">
        <v>0.5</v>
      </c>
      <c r="J118" s="29">
        <v>0.5</v>
      </c>
      <c r="K118" s="29">
        <v>0.5</v>
      </c>
      <c r="L118" s="29">
        <v>0.5</v>
      </c>
      <c r="M118" s="29">
        <v>0.5</v>
      </c>
      <c r="N118" s="29">
        <v>0.5</v>
      </c>
      <c r="O118" s="29">
        <v>0.5</v>
      </c>
      <c r="P118" s="29">
        <v>0.5</v>
      </c>
      <c r="Q118" s="29">
        <v>0.5</v>
      </c>
      <c r="R118" s="29">
        <v>0.5</v>
      </c>
      <c r="S118" s="29">
        <v>0.5</v>
      </c>
      <c r="T118" s="29">
        <v>0.5</v>
      </c>
      <c r="U118" s="29">
        <v>0.5</v>
      </c>
      <c r="V118" s="33">
        <v>0.0</v>
      </c>
      <c r="W118" s="29">
        <v>0.0</v>
      </c>
      <c r="X118" s="29">
        <v>0.0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6.5" customHeight="1">
      <c r="A119" s="30"/>
      <c r="B119" s="34"/>
      <c r="C119" s="26" t="s">
        <v>123</v>
      </c>
      <c r="D119" s="20"/>
      <c r="E119" s="26" t="s">
        <v>44</v>
      </c>
      <c r="F119" s="20"/>
      <c r="G119" s="29">
        <v>0.5</v>
      </c>
      <c r="H119" s="29">
        <v>0.5</v>
      </c>
      <c r="I119" s="29">
        <v>0.5</v>
      </c>
      <c r="J119" s="29">
        <v>0.5</v>
      </c>
      <c r="K119" s="29">
        <v>0.5</v>
      </c>
      <c r="L119" s="29">
        <v>0.5</v>
      </c>
      <c r="M119" s="29">
        <v>0.5</v>
      </c>
      <c r="N119" s="29">
        <v>0.5</v>
      </c>
      <c r="O119" s="29">
        <v>0.5</v>
      </c>
      <c r="P119" s="29">
        <v>0.5</v>
      </c>
      <c r="Q119" s="29">
        <v>0.5</v>
      </c>
      <c r="R119" s="29">
        <v>0.5</v>
      </c>
      <c r="S119" s="29">
        <v>0.5</v>
      </c>
      <c r="T119" s="29">
        <v>0.5</v>
      </c>
      <c r="U119" s="29">
        <v>0.5</v>
      </c>
      <c r="V119" s="33">
        <v>0.0</v>
      </c>
      <c r="W119" s="29">
        <v>0.0</v>
      </c>
      <c r="X119" s="29">
        <v>0.0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16.5" customHeight="1">
      <c r="A120" s="30"/>
      <c r="B120" s="34"/>
      <c r="C120" s="26" t="s">
        <v>124</v>
      </c>
      <c r="D120" s="20"/>
      <c r="E120" s="26" t="s">
        <v>44</v>
      </c>
      <c r="F120" s="20"/>
      <c r="G120" s="29">
        <v>1.0</v>
      </c>
      <c r="H120" s="29">
        <v>1.0</v>
      </c>
      <c r="I120" s="29">
        <v>1.0</v>
      </c>
      <c r="J120" s="29">
        <v>1.0</v>
      </c>
      <c r="K120" s="29">
        <v>1.0</v>
      </c>
      <c r="L120" s="29">
        <v>1.0</v>
      </c>
      <c r="M120" s="29">
        <v>1.0</v>
      </c>
      <c r="N120" s="29">
        <v>1.0</v>
      </c>
      <c r="O120" s="29">
        <v>1.0</v>
      </c>
      <c r="P120" s="29">
        <v>1.0</v>
      </c>
      <c r="Q120" s="29">
        <v>1.0</v>
      </c>
      <c r="R120" s="29">
        <v>1.0</v>
      </c>
      <c r="S120" s="29">
        <v>1.0</v>
      </c>
      <c r="T120" s="29">
        <v>1.0</v>
      </c>
      <c r="U120" s="29">
        <v>1.0</v>
      </c>
      <c r="V120" s="33">
        <v>0.0</v>
      </c>
      <c r="W120" s="29">
        <v>0.0</v>
      </c>
      <c r="X120" s="29">
        <v>0.0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ht="16.5" customHeight="1">
      <c r="A121" s="30"/>
      <c r="B121" s="36"/>
      <c r="C121" s="26" t="s">
        <v>125</v>
      </c>
      <c r="D121" s="20"/>
      <c r="E121" s="26" t="s">
        <v>44</v>
      </c>
      <c r="F121" s="20"/>
      <c r="G121" s="29">
        <v>0.5</v>
      </c>
      <c r="H121" s="29">
        <v>0.5</v>
      </c>
      <c r="I121" s="29">
        <v>0.5</v>
      </c>
      <c r="J121" s="29">
        <v>0.5</v>
      </c>
      <c r="K121" s="29">
        <v>0.5</v>
      </c>
      <c r="L121" s="29">
        <v>0.5</v>
      </c>
      <c r="M121" s="29">
        <v>0.5</v>
      </c>
      <c r="N121" s="29">
        <v>0.5</v>
      </c>
      <c r="O121" s="29">
        <v>0.5</v>
      </c>
      <c r="P121" s="29">
        <v>0.5</v>
      </c>
      <c r="Q121" s="29">
        <v>0.5</v>
      </c>
      <c r="R121" s="29">
        <v>0.5</v>
      </c>
      <c r="S121" s="29">
        <v>0.5</v>
      </c>
      <c r="T121" s="29">
        <v>0.5</v>
      </c>
      <c r="U121" s="29">
        <v>0.5</v>
      </c>
      <c r="V121" s="33">
        <v>0.0</v>
      </c>
      <c r="W121" s="29">
        <v>0.0</v>
      </c>
      <c r="X121" s="29">
        <v>0.0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6.5" customHeight="1">
      <c r="A122" s="30"/>
      <c r="B122" s="42" t="s">
        <v>126</v>
      </c>
      <c r="C122" s="26" t="s">
        <v>127</v>
      </c>
      <c r="D122" s="20"/>
      <c r="E122" s="26" t="s">
        <v>25</v>
      </c>
      <c r="F122" s="20"/>
      <c r="G122" s="29">
        <v>2.0</v>
      </c>
      <c r="H122" s="29">
        <v>2.0</v>
      </c>
      <c r="I122" s="29">
        <v>2.0</v>
      </c>
      <c r="J122" s="29">
        <v>2.0</v>
      </c>
      <c r="K122" s="29">
        <v>2.0</v>
      </c>
      <c r="L122" s="29">
        <v>2.0</v>
      </c>
      <c r="M122" s="29">
        <v>2.0</v>
      </c>
      <c r="N122" s="29">
        <v>2.0</v>
      </c>
      <c r="O122" s="29">
        <v>2.0</v>
      </c>
      <c r="P122" s="29">
        <v>2.0</v>
      </c>
      <c r="Q122" s="29">
        <v>2.0</v>
      </c>
      <c r="R122" s="29">
        <v>2.0</v>
      </c>
      <c r="S122" s="29">
        <v>2.0</v>
      </c>
      <c r="T122" s="29">
        <v>2.0</v>
      </c>
      <c r="U122" s="29">
        <v>2.0</v>
      </c>
      <c r="V122" s="29">
        <v>2.0</v>
      </c>
      <c r="W122" s="29">
        <v>2.0</v>
      </c>
      <c r="X122" s="33">
        <v>0.0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ht="16.5" customHeight="1">
      <c r="A123" s="30"/>
      <c r="B123" s="36"/>
      <c r="C123" s="26" t="s">
        <v>128</v>
      </c>
      <c r="D123" s="20"/>
      <c r="E123" s="26" t="s">
        <v>25</v>
      </c>
      <c r="F123" s="20"/>
      <c r="G123" s="29">
        <v>2.0</v>
      </c>
      <c r="H123" s="29">
        <v>2.0</v>
      </c>
      <c r="I123" s="29">
        <v>2.0</v>
      </c>
      <c r="J123" s="29">
        <v>2.0</v>
      </c>
      <c r="K123" s="29">
        <v>2.0</v>
      </c>
      <c r="L123" s="29">
        <v>2.0</v>
      </c>
      <c r="M123" s="29">
        <v>2.0</v>
      </c>
      <c r="N123" s="29">
        <v>2.0</v>
      </c>
      <c r="O123" s="29">
        <v>2.0</v>
      </c>
      <c r="P123" s="29">
        <v>2.0</v>
      </c>
      <c r="Q123" s="29">
        <v>2.0</v>
      </c>
      <c r="R123" s="29">
        <v>2.0</v>
      </c>
      <c r="S123" s="29">
        <v>2.0</v>
      </c>
      <c r="T123" s="29">
        <v>2.0</v>
      </c>
      <c r="U123" s="29">
        <v>2.0</v>
      </c>
      <c r="V123" s="29">
        <v>2.0</v>
      </c>
      <c r="W123" s="29">
        <v>2.0</v>
      </c>
      <c r="X123" s="33">
        <v>0.0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ht="16.5" customHeight="1">
      <c r="A124" s="30"/>
      <c r="B124" s="43" t="s">
        <v>19</v>
      </c>
      <c r="C124" s="44"/>
      <c r="D124" s="45"/>
      <c r="E124" s="46" t="s">
        <v>129</v>
      </c>
      <c r="F124" s="20"/>
      <c r="G124" s="28">
        <f>SUM(G16:G123)</f>
        <v>149</v>
      </c>
      <c r="H124" s="20"/>
      <c r="I124" s="29">
        <f>SUM(I16:I123)-J19</f>
        <v>147</v>
      </c>
      <c r="J124" s="29">
        <f>SUM(J16:J123)</f>
        <v>142</v>
      </c>
      <c r="K124" s="29">
        <f>SUM(K16:K123)+L31</f>
        <v>133</v>
      </c>
      <c r="L124" s="29">
        <f>SUM(L16:L123)-M37</f>
        <v>125</v>
      </c>
      <c r="M124" s="29">
        <f t="shared" ref="M124:N124" si="2">SUM(M16:M123)</f>
        <v>118</v>
      </c>
      <c r="N124" s="29">
        <f t="shared" si="2"/>
        <v>104</v>
      </c>
      <c r="O124" s="29">
        <f>SUM(O16:O123)+P61-P64</f>
        <v>93</v>
      </c>
      <c r="P124" s="29">
        <f>SUM(P16:P123)-P64+P61</f>
        <v>82</v>
      </c>
      <c r="Q124" s="29">
        <f>SUM(Q16:Q123)+Q69</f>
        <v>65</v>
      </c>
      <c r="R124" s="29">
        <f>SUM(R16:R123)-S93</f>
        <v>46</v>
      </c>
      <c r="S124" s="29">
        <f>SUM(S16:S123)-S93</f>
        <v>27</v>
      </c>
      <c r="T124" s="29">
        <f t="shared" ref="T124:X124" si="3">SUM(T16:T123)</f>
        <v>12</v>
      </c>
      <c r="U124" s="29">
        <f t="shared" si="3"/>
        <v>8</v>
      </c>
      <c r="V124" s="29">
        <f t="shared" si="3"/>
        <v>4</v>
      </c>
      <c r="W124" s="29">
        <f t="shared" si="3"/>
        <v>4</v>
      </c>
      <c r="X124" s="29">
        <f t="shared" si="3"/>
        <v>0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ht="16.5" customHeight="1">
      <c r="A125" s="30"/>
      <c r="B125" s="47"/>
      <c r="C125" s="48"/>
      <c r="D125" s="49"/>
      <c r="E125" s="46" t="s">
        <v>130</v>
      </c>
      <c r="F125" s="20"/>
      <c r="G125" s="28">
        <f>SUM(H16:H123)</f>
        <v>150</v>
      </c>
      <c r="H125" s="20"/>
      <c r="I125" s="29">
        <f t="shared" ref="I125:X125" si="4">SUM(I16:I123)</f>
        <v>150</v>
      </c>
      <c r="J125" s="29">
        <f t="shared" si="4"/>
        <v>142</v>
      </c>
      <c r="K125" s="29">
        <f t="shared" si="4"/>
        <v>131</v>
      </c>
      <c r="L125" s="29">
        <f t="shared" si="4"/>
        <v>126</v>
      </c>
      <c r="M125" s="29">
        <f t="shared" si="4"/>
        <v>118</v>
      </c>
      <c r="N125" s="29">
        <f t="shared" si="4"/>
        <v>104</v>
      </c>
      <c r="O125" s="29">
        <f t="shared" si="4"/>
        <v>92</v>
      </c>
      <c r="P125" s="29">
        <f t="shared" si="4"/>
        <v>81</v>
      </c>
      <c r="Q125" s="29">
        <f t="shared" si="4"/>
        <v>64</v>
      </c>
      <c r="R125" s="29">
        <f t="shared" si="4"/>
        <v>47</v>
      </c>
      <c r="S125" s="29">
        <f t="shared" si="4"/>
        <v>28</v>
      </c>
      <c r="T125" s="29">
        <f t="shared" si="4"/>
        <v>12</v>
      </c>
      <c r="U125" s="29">
        <f t="shared" si="4"/>
        <v>8</v>
      </c>
      <c r="V125" s="29">
        <f t="shared" si="4"/>
        <v>4</v>
      </c>
      <c r="W125" s="29">
        <f t="shared" si="4"/>
        <v>4</v>
      </c>
      <c r="X125" s="29">
        <f t="shared" si="4"/>
        <v>0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</sheetData>
  <mergeCells count="237"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  <mergeCell ref="C41:D41"/>
    <mergeCell ref="C42:D42"/>
    <mergeCell ref="C38:D38"/>
    <mergeCell ref="E38:F38"/>
    <mergeCell ref="C39:D39"/>
    <mergeCell ref="E39:F39"/>
    <mergeCell ref="C40:D40"/>
    <mergeCell ref="E40:F40"/>
    <mergeCell ref="E41:F41"/>
    <mergeCell ref="E42:F42"/>
    <mergeCell ref="C50:D50"/>
    <mergeCell ref="C51:D51"/>
    <mergeCell ref="C52:D52"/>
    <mergeCell ref="C47:D47"/>
    <mergeCell ref="E47:F47"/>
    <mergeCell ref="C48:D48"/>
    <mergeCell ref="E48:F48"/>
    <mergeCell ref="C49:D49"/>
    <mergeCell ref="E49:F49"/>
    <mergeCell ref="E50:F50"/>
    <mergeCell ref="C55:D55"/>
    <mergeCell ref="C56:D56"/>
    <mergeCell ref="C57:D57"/>
    <mergeCell ref="E51:F51"/>
    <mergeCell ref="E52:F52"/>
    <mergeCell ref="C53:D53"/>
    <mergeCell ref="E53:F53"/>
    <mergeCell ref="C54:D54"/>
    <mergeCell ref="E54:F54"/>
    <mergeCell ref="E55:F55"/>
    <mergeCell ref="C60:D60"/>
    <mergeCell ref="C61:D61"/>
    <mergeCell ref="C62:D62"/>
    <mergeCell ref="E56:F56"/>
    <mergeCell ref="E57:F57"/>
    <mergeCell ref="C58:D58"/>
    <mergeCell ref="E58:F58"/>
    <mergeCell ref="C59:D59"/>
    <mergeCell ref="E59:F59"/>
    <mergeCell ref="E60:F60"/>
    <mergeCell ref="C65:D65"/>
    <mergeCell ref="C66:D66"/>
    <mergeCell ref="C67:D67"/>
    <mergeCell ref="E61:F61"/>
    <mergeCell ref="E62:F62"/>
    <mergeCell ref="C63:D63"/>
    <mergeCell ref="E63:F63"/>
    <mergeCell ref="C64:D64"/>
    <mergeCell ref="E64:F64"/>
    <mergeCell ref="E65:F65"/>
    <mergeCell ref="C70:D70"/>
    <mergeCell ref="C71:D71"/>
    <mergeCell ref="C72:D72"/>
    <mergeCell ref="E66:F66"/>
    <mergeCell ref="E67:F67"/>
    <mergeCell ref="C68:D68"/>
    <mergeCell ref="E68:F68"/>
    <mergeCell ref="C69:D69"/>
    <mergeCell ref="E69:F69"/>
    <mergeCell ref="E70:F70"/>
    <mergeCell ref="C33:D33"/>
    <mergeCell ref="C34:D34"/>
    <mergeCell ref="C35:D35"/>
    <mergeCell ref="C36:D36"/>
    <mergeCell ref="E36:F36"/>
    <mergeCell ref="C37:D37"/>
    <mergeCell ref="E37:F37"/>
    <mergeCell ref="E43:F43"/>
    <mergeCell ref="C43:D43"/>
    <mergeCell ref="C44:D44"/>
    <mergeCell ref="E44:F44"/>
    <mergeCell ref="C45:D45"/>
    <mergeCell ref="E45:F45"/>
    <mergeCell ref="C46:D46"/>
    <mergeCell ref="E46:F46"/>
    <mergeCell ref="C110:D110"/>
    <mergeCell ref="C111:D111"/>
    <mergeCell ref="C112:D112"/>
    <mergeCell ref="E106:F106"/>
    <mergeCell ref="E107:F107"/>
    <mergeCell ref="C108:D108"/>
    <mergeCell ref="E108:F108"/>
    <mergeCell ref="C109:D109"/>
    <mergeCell ref="E109:F109"/>
    <mergeCell ref="E110:F110"/>
    <mergeCell ref="C115:D115"/>
    <mergeCell ref="C116:D116"/>
    <mergeCell ref="C117:D117"/>
    <mergeCell ref="E111:F111"/>
    <mergeCell ref="E112:F112"/>
    <mergeCell ref="C113:D113"/>
    <mergeCell ref="E113:F113"/>
    <mergeCell ref="C114:D114"/>
    <mergeCell ref="E114:F114"/>
    <mergeCell ref="E115:F115"/>
    <mergeCell ref="B110:B121"/>
    <mergeCell ref="B122:B123"/>
    <mergeCell ref="A4:B4"/>
    <mergeCell ref="A16:A125"/>
    <mergeCell ref="B20:B32"/>
    <mergeCell ref="B33:B45"/>
    <mergeCell ref="B46:B84"/>
    <mergeCell ref="B85:B97"/>
    <mergeCell ref="B98:B109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C27:D27"/>
    <mergeCell ref="C28:D28"/>
    <mergeCell ref="C29:D29"/>
    <mergeCell ref="C30:D30"/>
    <mergeCell ref="C31:D31"/>
    <mergeCell ref="C32:D32"/>
    <mergeCell ref="C120:D120"/>
    <mergeCell ref="C121:D121"/>
    <mergeCell ref="C122:D122"/>
    <mergeCell ref="C123:D123"/>
    <mergeCell ref="B124:D125"/>
    <mergeCell ref="E121:F121"/>
    <mergeCell ref="E122:F122"/>
    <mergeCell ref="E123:F123"/>
    <mergeCell ref="E124:F124"/>
    <mergeCell ref="E125:F125"/>
    <mergeCell ref="E116:F116"/>
    <mergeCell ref="E117:F117"/>
    <mergeCell ref="C118:D118"/>
    <mergeCell ref="E118:F118"/>
    <mergeCell ref="C119:D119"/>
    <mergeCell ref="E119:F119"/>
    <mergeCell ref="E120:F120"/>
    <mergeCell ref="C75:D75"/>
    <mergeCell ref="C76:D76"/>
    <mergeCell ref="C77:D77"/>
    <mergeCell ref="E71:F71"/>
    <mergeCell ref="E72:F72"/>
    <mergeCell ref="C73:D73"/>
    <mergeCell ref="E73:F73"/>
    <mergeCell ref="C74:D74"/>
    <mergeCell ref="E74:F74"/>
    <mergeCell ref="E75:F75"/>
    <mergeCell ref="C80:D80"/>
    <mergeCell ref="C81:D81"/>
    <mergeCell ref="C82:D82"/>
    <mergeCell ref="E76:F76"/>
    <mergeCell ref="E77:F77"/>
    <mergeCell ref="C78:D78"/>
    <mergeCell ref="E78:F78"/>
    <mergeCell ref="C79:D79"/>
    <mergeCell ref="E79:F79"/>
    <mergeCell ref="E80:F80"/>
    <mergeCell ref="C85:D85"/>
    <mergeCell ref="C86:D86"/>
    <mergeCell ref="C87:D87"/>
    <mergeCell ref="E81:F81"/>
    <mergeCell ref="E82:F82"/>
    <mergeCell ref="C83:D83"/>
    <mergeCell ref="E83:F83"/>
    <mergeCell ref="C84:D84"/>
    <mergeCell ref="E84:F84"/>
    <mergeCell ref="E85:F85"/>
    <mergeCell ref="C90:D90"/>
    <mergeCell ref="C91:D91"/>
    <mergeCell ref="C92:D92"/>
    <mergeCell ref="E86:F86"/>
    <mergeCell ref="E87:F87"/>
    <mergeCell ref="C88:D88"/>
    <mergeCell ref="E88:F88"/>
    <mergeCell ref="C89:D89"/>
    <mergeCell ref="E89:F89"/>
    <mergeCell ref="E90:F90"/>
    <mergeCell ref="C95:D95"/>
    <mergeCell ref="C96:D96"/>
    <mergeCell ref="C97:D97"/>
    <mergeCell ref="E91:F91"/>
    <mergeCell ref="E92:F92"/>
    <mergeCell ref="C93:D93"/>
    <mergeCell ref="E93:F93"/>
    <mergeCell ref="C94:D94"/>
    <mergeCell ref="E94:F94"/>
    <mergeCell ref="E95:F95"/>
    <mergeCell ref="C100:D100"/>
    <mergeCell ref="C101:D101"/>
    <mergeCell ref="C102:D102"/>
    <mergeCell ref="E96:F96"/>
    <mergeCell ref="E97:F97"/>
    <mergeCell ref="C98:D98"/>
    <mergeCell ref="E98:F98"/>
    <mergeCell ref="C99:D99"/>
    <mergeCell ref="E99:F99"/>
    <mergeCell ref="E100:F100"/>
    <mergeCell ref="C105:D105"/>
    <mergeCell ref="C106:D106"/>
    <mergeCell ref="C107:D107"/>
    <mergeCell ref="G124:H124"/>
    <mergeCell ref="G125:H125"/>
    <mergeCell ref="E101:F101"/>
    <mergeCell ref="E102:F102"/>
    <mergeCell ref="C103:D103"/>
    <mergeCell ref="E103:F103"/>
    <mergeCell ref="C104:D104"/>
    <mergeCell ref="E104:F104"/>
    <mergeCell ref="E105:F10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29"/>
    <col customWidth="1" min="3" max="3" width="55.43"/>
    <col customWidth="1" min="4" max="5" width="11.0"/>
    <col customWidth="1" min="6" max="6" width="20.57"/>
    <col customWidth="1" min="7" max="8" width="6.14"/>
    <col customWidth="1" min="9" max="9" width="6.0"/>
    <col customWidth="1" min="10" max="13" width="6.14"/>
    <col customWidth="1" min="14" max="14" width="6.0"/>
    <col customWidth="1" min="15" max="15" width="6.14"/>
    <col customWidth="1" min="16" max="20" width="6.0"/>
    <col customWidth="1" min="21" max="23" width="6.14"/>
    <col customWidth="1" min="24" max="24" width="6.0"/>
    <col customWidth="1" min="25" max="25" width="6.14"/>
    <col customWidth="1" min="26" max="26" width="6.0"/>
    <col customWidth="1" min="27" max="27" width="5.86"/>
    <col customWidth="1" min="28" max="28" width="6.14"/>
    <col customWidth="1" min="29" max="31" width="6.0"/>
    <col customWidth="1" min="32" max="41" width="9.14"/>
  </cols>
  <sheetData>
    <row r="1" ht="16.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6.5" customHeight="1">
      <c r="A2" s="1" t="s">
        <v>3</v>
      </c>
      <c r="B2" s="2"/>
      <c r="C2" s="7" t="s">
        <v>131</v>
      </c>
      <c r="D2" s="4"/>
      <c r="E2" s="8"/>
      <c r="F2" s="9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6.5" customHeight="1">
      <c r="A3" s="1" t="s">
        <v>6</v>
      </c>
      <c r="B3" s="2"/>
      <c r="C3" s="10">
        <v>46117.0</v>
      </c>
      <c r="D3" s="4"/>
      <c r="E3" s="11"/>
      <c r="F3" s="1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7.25" customHeight="1">
      <c r="A4" s="1" t="s">
        <v>8</v>
      </c>
      <c r="B4" s="2"/>
      <c r="C4" s="10">
        <v>46131.0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5" customHeight="1">
      <c r="A6" s="4"/>
      <c r="B6" s="13" t="s">
        <v>9</v>
      </c>
      <c r="C6" s="14"/>
      <c r="D6" s="14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5" customHeight="1">
      <c r="A7" s="4"/>
      <c r="B7" s="15" t="s">
        <v>10</v>
      </c>
      <c r="C7" s="15" t="s">
        <v>11</v>
      </c>
      <c r="D7" s="15" t="s">
        <v>12</v>
      </c>
      <c r="E7" s="15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5" customHeight="1">
      <c r="A8" s="4"/>
      <c r="B8" s="16">
        <v>1.0</v>
      </c>
      <c r="C8" s="7" t="s">
        <v>14</v>
      </c>
      <c r="D8" s="7">
        <f>SUMIF($E$16:$F$92,"Hội",$G$16:$G$92)+SUMIF($E$16:$F$92,"All team",$G$16:$G$92)/5+SUMIF($E$16:$F$92,"Hội, Giang",$G$16:$G$92)/2+SUMIF($E$16:$F$92,"Hội, Khang, Lĩnh, Giang",$G$16:$G$92)/4</f>
        <v>20.15</v>
      </c>
      <c r="E8" s="7">
        <f>SUMIF($E$16:$F$92,"Hội",$H$16:$H$91)+SUMIF($E$16:$F$92,"All team",$H$16:$H$91)/5+SUMIF($E$16:$F$92,"Hội, Giang",$H$16:$H$91)/2+SUMIF($E$16:$F$92,"Hội, Khang, Lĩnh, Giang",$H$16:$H$91)/4</f>
        <v>32.35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5" customHeight="1">
      <c r="A9" s="4"/>
      <c r="B9" s="16">
        <v>2.0</v>
      </c>
      <c r="C9" s="7" t="s">
        <v>15</v>
      </c>
      <c r="D9" s="7">
        <f>SUMIF($E$16:$F$92,"Giang",$G$16:$G$92)+SUMIF($E$16:$F$92,"All team",$G$16:$G$92)/5+SUMIF($E$16:$F$92,"Hội, Giang",$G$16:$G$92)/2+SUMIF($E$16:$F$92,"Hội, Khang, Lĩnh, Giang",$G$16:$G$92)/4++SUMIF($E$16:$F$92,"Lĩnh, Giang",$G$16:$G$92)/2</f>
        <v>22.65</v>
      </c>
      <c r="E9" s="7">
        <f>SUMIF($E$16:$F$92,"Giang",$H$16:$H$91)+SUMIF($E$16:$F$92,"All team",$H$16:$H$91)/5+SUMIF($E$16:$F$92,"Hội, Giang",$H$16:$H$91)/2+SUMIF($E$16:$F$92,"Hội, Khang, Lĩnh, Giang",$H$16:$H$91)/4+SUMIF($E$16:$F$92,"Lĩnh, Giang",$H$16:$H$91)/2</f>
        <v>39.85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5" customHeight="1">
      <c r="A10" s="4"/>
      <c r="B10" s="16">
        <v>3.0</v>
      </c>
      <c r="C10" s="7" t="s">
        <v>16</v>
      </c>
      <c r="D10" s="7">
        <f>SUMIF($E$16:$F$92,"Nhi",$G$16:$G$92)+SUMIF($E$16:$F$92,"All team",$G$16:$G$92)/5</f>
        <v>17.4</v>
      </c>
      <c r="E10" s="7">
        <f>SUMIF($E$16:$F$92,"Nhi",$H$16:$H$91)+SUMIF($E$16:$F$92,"All team",$H$16:$H$91)/5</f>
        <v>37.6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5" customHeight="1">
      <c r="A11" s="4"/>
      <c r="B11" s="16">
        <v>4.0</v>
      </c>
      <c r="C11" s="7" t="s">
        <v>17</v>
      </c>
      <c r="D11" s="7">
        <f>SUMIF($E$16:$F$92,"Khang",$G$16:$G$92)+SUMIF($E$16:$F$92,"All team",$G$16:$G$92)/5+SUMIF($E$16:$F$92,"Khang, Lĩnh",$G$16:$G$92)/2+SUMIF($E$16:$F$92,"Hội, Khang, Lĩnh, Giang",$G$16:$G$92)/4</f>
        <v>14.65</v>
      </c>
      <c r="E11" s="7">
        <f>SUMIF($E$16:$F$92,"Khang",$H$16:$H$91)+SUMIF($E$16:$F$92,"All team",$H$16:$H$91)/5+SUMIF($E$16:$F$92,"Khang, Lĩnh",$H$16:$H$91)/2+SUMIF($E$16:$F$92,"Hội, Khang, Lĩnh, Giang",$H$16:$H$91)/4</f>
        <v>23.35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5" customHeight="1">
      <c r="A12" s="4"/>
      <c r="B12" s="16">
        <v>5.0</v>
      </c>
      <c r="C12" s="7" t="s">
        <v>18</v>
      </c>
      <c r="D12" s="7">
        <f>SUMIF($E$16:$F$92,"Lĩnh",$G$16:$G$92)+SUMIF($E$16:$F$92,"All team",$G$16:$G$92)/5+SUMIF($E$16:$F$92,"Lĩnh, Giang",$G$16:$G$92)/2+SUMIF($E$16:$F$92,"Hội, Khang, Lĩnh, Giang",$G$16:$G$92)/4</f>
        <v>11.65</v>
      </c>
      <c r="E12" s="7">
        <f>SUMIF($E$16:$F$92,"Lĩnh",$H$16:$H$91)+SUMIF($E$16:$F$92,"All team",$H$16:$H$91)/5+SUMIF($E$16:$F$92,"Lĩnh, Giang",$H$16:$H$91)/2+SUMIF($E$16:$F$92,"Hội, Khang, Lĩnh, Giang",$H$16:$H$91)/4</f>
        <v>18.85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5" customHeight="1">
      <c r="A13" s="4"/>
      <c r="B13" s="13" t="s">
        <v>19</v>
      </c>
      <c r="C13" s="2"/>
      <c r="D13" s="17">
        <f t="shared" ref="D13:E13" si="1">SUM(D8:D12)</f>
        <v>86.5</v>
      </c>
      <c r="E13" s="17">
        <f t="shared" si="1"/>
        <v>152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62.25" customHeight="1">
      <c r="A15" s="18" t="s">
        <v>20</v>
      </c>
      <c r="B15" s="18" t="s">
        <v>21</v>
      </c>
      <c r="C15" s="19" t="s">
        <v>22</v>
      </c>
      <c r="D15" s="20"/>
      <c r="E15" s="21" t="s">
        <v>23</v>
      </c>
      <c r="F15" s="20"/>
      <c r="G15" s="22" t="s">
        <v>12</v>
      </c>
      <c r="H15" s="22" t="s">
        <v>13</v>
      </c>
      <c r="I15" s="23">
        <v>46117.0</v>
      </c>
      <c r="J15" s="50">
        <v>46118.0</v>
      </c>
      <c r="K15" s="50">
        <v>46119.0</v>
      </c>
      <c r="L15" s="50">
        <v>46120.0</v>
      </c>
      <c r="M15" s="23">
        <v>46121.0</v>
      </c>
      <c r="N15" s="23">
        <v>46122.0</v>
      </c>
      <c r="O15" s="23">
        <v>46123.0</v>
      </c>
      <c r="P15" s="23">
        <v>46124.0</v>
      </c>
      <c r="Q15" s="23">
        <v>46125.0</v>
      </c>
      <c r="R15" s="23">
        <v>46126.0</v>
      </c>
      <c r="S15" s="23">
        <v>46127.0</v>
      </c>
      <c r="T15" s="23">
        <v>46128.0</v>
      </c>
      <c r="U15" s="23">
        <v>46129.0</v>
      </c>
      <c r="V15" s="23">
        <v>46130.0</v>
      </c>
      <c r="W15" s="23">
        <v>46131.0</v>
      </c>
      <c r="X15" s="24"/>
      <c r="Y15" s="24"/>
      <c r="Z15" s="24"/>
      <c r="AA15" s="24"/>
      <c r="AB15" s="24"/>
      <c r="AC15" s="24"/>
      <c r="AD15" s="24"/>
      <c r="AE15" s="24"/>
      <c r="AF15" s="24"/>
      <c r="AG15" s="4"/>
      <c r="AH15" s="4"/>
      <c r="AI15" s="4"/>
      <c r="AJ15" s="4"/>
      <c r="AK15" s="4"/>
      <c r="AL15" s="4"/>
      <c r="AM15" s="4"/>
      <c r="AN15" s="4"/>
      <c r="AO15" s="4"/>
    </row>
    <row r="16" ht="16.5" customHeight="1">
      <c r="A16" s="25" t="s">
        <v>131</v>
      </c>
      <c r="B16" s="26" t="s">
        <v>132</v>
      </c>
      <c r="C16" s="27"/>
      <c r="D16" s="20"/>
      <c r="E16" s="26" t="s">
        <v>25</v>
      </c>
      <c r="F16" s="20"/>
      <c r="G16" s="51">
        <v>1.0</v>
      </c>
      <c r="H16" s="51">
        <v>2.0</v>
      </c>
      <c r="I16" s="26">
        <v>2.0</v>
      </c>
      <c r="J16" s="52">
        <v>0.0</v>
      </c>
      <c r="K16" s="26">
        <v>0.0</v>
      </c>
      <c r="L16" s="26">
        <v>0.0</v>
      </c>
      <c r="M16" s="26">
        <v>0.0</v>
      </c>
      <c r="N16" s="26">
        <v>0.0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9">
        <v>0.0</v>
      </c>
      <c r="W16" s="29">
        <v>0.0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5" customHeight="1">
      <c r="A17" s="30"/>
      <c r="B17" s="28"/>
      <c r="C17" s="27"/>
      <c r="D17" s="20"/>
      <c r="E17" s="28"/>
      <c r="F17" s="20"/>
      <c r="G17" s="51"/>
      <c r="H17" s="51"/>
      <c r="I17" s="26"/>
      <c r="J17" s="53">
        <v>1.0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9"/>
      <c r="W17" s="29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6.5" customHeight="1">
      <c r="A18" s="30"/>
      <c r="B18" s="26" t="s">
        <v>133</v>
      </c>
      <c r="C18" s="27"/>
      <c r="D18" s="20"/>
      <c r="E18" s="26" t="s">
        <v>27</v>
      </c>
      <c r="F18" s="20"/>
      <c r="G18" s="51">
        <v>1.0</v>
      </c>
      <c r="H18" s="51">
        <v>2.0</v>
      </c>
      <c r="I18" s="26">
        <v>2.0</v>
      </c>
      <c r="J18" s="52">
        <v>0.0</v>
      </c>
      <c r="K18" s="26">
        <v>0.0</v>
      </c>
      <c r="L18" s="26">
        <v>0.0</v>
      </c>
      <c r="M18" s="26">
        <v>0.0</v>
      </c>
      <c r="N18" s="26">
        <v>0.0</v>
      </c>
      <c r="O18" s="26">
        <v>0.0</v>
      </c>
      <c r="P18" s="26">
        <v>0.0</v>
      </c>
      <c r="Q18" s="26">
        <v>0.0</v>
      </c>
      <c r="R18" s="26">
        <v>0.0</v>
      </c>
      <c r="S18" s="26">
        <v>0.0</v>
      </c>
      <c r="T18" s="26">
        <v>0.0</v>
      </c>
      <c r="U18" s="26">
        <v>0.0</v>
      </c>
      <c r="V18" s="29">
        <v>0.0</v>
      </c>
      <c r="W18" s="29">
        <v>0.0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6.5" customHeight="1">
      <c r="A19" s="30"/>
      <c r="B19" s="28"/>
      <c r="C19" s="27"/>
      <c r="D19" s="20"/>
      <c r="E19" s="28"/>
      <c r="F19" s="20"/>
      <c r="G19" s="51"/>
      <c r="H19" s="51"/>
      <c r="I19" s="26"/>
      <c r="J19" s="53">
        <v>1.0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9"/>
      <c r="W19" s="29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6.5" customHeight="1">
      <c r="A20" s="30"/>
      <c r="B20" s="26" t="s">
        <v>134</v>
      </c>
      <c r="C20" s="27"/>
      <c r="D20" s="20"/>
      <c r="E20" s="26" t="s">
        <v>44</v>
      </c>
      <c r="F20" s="20"/>
      <c r="G20" s="51">
        <v>1.0</v>
      </c>
      <c r="H20" s="51">
        <v>3.0</v>
      </c>
      <c r="I20" s="26">
        <v>3.0</v>
      </c>
      <c r="J20" s="52">
        <v>0.0</v>
      </c>
      <c r="K20" s="26">
        <v>0.0</v>
      </c>
      <c r="L20" s="26">
        <v>0.0</v>
      </c>
      <c r="M20" s="26">
        <v>0.0</v>
      </c>
      <c r="N20" s="26">
        <v>0.0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9">
        <v>0.0</v>
      </c>
      <c r="W20" s="29">
        <v>0.0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6.5" customHeight="1">
      <c r="A21" s="30"/>
      <c r="B21" s="28"/>
      <c r="C21" s="27"/>
      <c r="D21" s="20"/>
      <c r="E21" s="28"/>
      <c r="F21" s="20"/>
      <c r="G21" s="51"/>
      <c r="H21" s="51"/>
      <c r="I21" s="26"/>
      <c r="J21" s="53">
        <v>2.0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9"/>
      <c r="W21" s="29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16.5" customHeight="1">
      <c r="A22" s="30"/>
      <c r="B22" s="41" t="s">
        <v>29</v>
      </c>
      <c r="C22" s="26" t="s">
        <v>135</v>
      </c>
      <c r="D22" s="20"/>
      <c r="E22" s="26" t="s">
        <v>31</v>
      </c>
      <c r="F22" s="20"/>
      <c r="G22" s="51">
        <v>2.0</v>
      </c>
      <c r="H22" s="51">
        <v>5.0</v>
      </c>
      <c r="I22" s="26">
        <v>5.0</v>
      </c>
      <c r="J22" s="26">
        <v>5.0</v>
      </c>
      <c r="K22" s="52">
        <v>0.0</v>
      </c>
      <c r="L22" s="26">
        <v>0.0</v>
      </c>
      <c r="M22" s="26">
        <v>0.0</v>
      </c>
      <c r="N22" s="26">
        <v>0.0</v>
      </c>
      <c r="O22" s="26">
        <v>0.0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9">
        <v>0.0</v>
      </c>
      <c r="W22" s="29">
        <v>0.0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5" customHeight="1">
      <c r="A23" s="30"/>
      <c r="B23" s="34"/>
      <c r="C23" s="28"/>
      <c r="D23" s="20"/>
      <c r="E23" s="28"/>
      <c r="F23" s="20"/>
      <c r="G23" s="51"/>
      <c r="H23" s="51"/>
      <c r="I23" s="26"/>
      <c r="J23" s="26"/>
      <c r="K23" s="53">
        <v>3.0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9"/>
      <c r="W23" s="29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5" customHeight="1">
      <c r="A24" s="30"/>
      <c r="B24" s="34"/>
      <c r="C24" s="26" t="s">
        <v>136</v>
      </c>
      <c r="D24" s="20"/>
      <c r="E24" s="26" t="s">
        <v>31</v>
      </c>
      <c r="F24" s="20"/>
      <c r="G24" s="51">
        <v>1.0</v>
      </c>
      <c r="H24" s="51">
        <v>5.0</v>
      </c>
      <c r="I24" s="26">
        <v>5.0</v>
      </c>
      <c r="J24" s="26">
        <v>5.0</v>
      </c>
      <c r="K24" s="52">
        <v>0.0</v>
      </c>
      <c r="L24" s="26">
        <v>0.0</v>
      </c>
      <c r="M24" s="26">
        <v>0.0</v>
      </c>
      <c r="N24" s="26">
        <v>0.0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9">
        <v>0.0</v>
      </c>
      <c r="W24" s="29">
        <v>0.0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5" customHeight="1">
      <c r="A25" s="30"/>
      <c r="B25" s="34"/>
      <c r="C25" s="28"/>
      <c r="D25" s="20"/>
      <c r="E25" s="28"/>
      <c r="F25" s="20"/>
      <c r="G25" s="51"/>
      <c r="H25" s="51"/>
      <c r="I25" s="26"/>
      <c r="J25" s="26"/>
      <c r="K25" s="53">
        <v>4.0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9"/>
      <c r="W25" s="29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5" customHeight="1">
      <c r="A26" s="30"/>
      <c r="B26" s="34"/>
      <c r="C26" s="26" t="s">
        <v>137</v>
      </c>
      <c r="D26" s="20"/>
      <c r="E26" s="26" t="s">
        <v>31</v>
      </c>
      <c r="F26" s="20"/>
      <c r="G26" s="51">
        <v>2.0</v>
      </c>
      <c r="H26" s="51">
        <v>5.0</v>
      </c>
      <c r="I26" s="26">
        <v>5.0</v>
      </c>
      <c r="J26" s="26">
        <v>5.0</v>
      </c>
      <c r="K26" s="52">
        <v>0.0</v>
      </c>
      <c r="L26" s="26">
        <v>0.0</v>
      </c>
      <c r="M26" s="26">
        <v>0.0</v>
      </c>
      <c r="N26" s="26">
        <v>0.0</v>
      </c>
      <c r="O26" s="26">
        <v>0.0</v>
      </c>
      <c r="P26" s="26">
        <v>0.0</v>
      </c>
      <c r="Q26" s="26">
        <v>0.0</v>
      </c>
      <c r="R26" s="26">
        <v>0.0</v>
      </c>
      <c r="S26" s="26">
        <v>0.0</v>
      </c>
      <c r="T26" s="26">
        <v>0.0</v>
      </c>
      <c r="U26" s="26">
        <v>0.0</v>
      </c>
      <c r="V26" s="29">
        <v>0.0</v>
      </c>
      <c r="W26" s="29">
        <v>0.0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5" customHeight="1">
      <c r="A27" s="30"/>
      <c r="B27" s="34"/>
      <c r="C27" s="28"/>
      <c r="D27" s="20"/>
      <c r="E27" s="28"/>
      <c r="F27" s="20"/>
      <c r="G27" s="51"/>
      <c r="H27" s="51"/>
      <c r="I27" s="26"/>
      <c r="J27" s="26"/>
      <c r="K27" s="53">
        <v>3.0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9"/>
      <c r="W27" s="29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5" customHeight="1">
      <c r="A28" s="30"/>
      <c r="B28" s="34"/>
      <c r="C28" s="26" t="s">
        <v>138</v>
      </c>
      <c r="D28" s="20"/>
      <c r="E28" s="26" t="s">
        <v>31</v>
      </c>
      <c r="F28" s="20"/>
      <c r="G28" s="51">
        <v>3.0</v>
      </c>
      <c r="H28" s="51">
        <v>5.0</v>
      </c>
      <c r="I28" s="26">
        <v>5.0</v>
      </c>
      <c r="J28" s="26">
        <v>5.0</v>
      </c>
      <c r="K28" s="52">
        <v>0.0</v>
      </c>
      <c r="L28" s="26">
        <v>0.0</v>
      </c>
      <c r="M28" s="26">
        <v>0.0</v>
      </c>
      <c r="N28" s="26">
        <v>0.0</v>
      </c>
      <c r="O28" s="26">
        <v>0.0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9">
        <v>0.0</v>
      </c>
      <c r="W28" s="29">
        <v>0.0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5" customHeight="1">
      <c r="A29" s="30"/>
      <c r="B29" s="34"/>
      <c r="C29" s="28"/>
      <c r="D29" s="20"/>
      <c r="E29" s="28"/>
      <c r="F29" s="20"/>
      <c r="G29" s="51"/>
      <c r="H29" s="51"/>
      <c r="I29" s="26"/>
      <c r="J29" s="26"/>
      <c r="K29" s="53">
        <v>2.0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9"/>
      <c r="W29" s="29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5" customHeight="1">
      <c r="A30" s="30"/>
      <c r="B30" s="34"/>
      <c r="C30" s="26" t="s">
        <v>139</v>
      </c>
      <c r="D30" s="20"/>
      <c r="E30" s="26" t="s">
        <v>31</v>
      </c>
      <c r="F30" s="20"/>
      <c r="G30" s="51">
        <v>3.0</v>
      </c>
      <c r="H30" s="51">
        <v>5.0</v>
      </c>
      <c r="I30" s="26">
        <v>5.0</v>
      </c>
      <c r="J30" s="26">
        <v>5.0</v>
      </c>
      <c r="K30" s="52">
        <v>0.0</v>
      </c>
      <c r="L30" s="26">
        <v>0.0</v>
      </c>
      <c r="M30" s="26">
        <v>0.0</v>
      </c>
      <c r="N30" s="26">
        <v>0.0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9">
        <v>0.0</v>
      </c>
      <c r="W30" s="29">
        <v>0.0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5" customHeight="1">
      <c r="A31" s="30"/>
      <c r="B31" s="36"/>
      <c r="C31" s="28"/>
      <c r="D31" s="20"/>
      <c r="E31" s="28"/>
      <c r="F31" s="20"/>
      <c r="G31" s="51"/>
      <c r="H31" s="51"/>
      <c r="I31" s="26"/>
      <c r="J31" s="26"/>
      <c r="K31" s="53">
        <v>2.0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9"/>
      <c r="W31" s="29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5" customHeight="1">
      <c r="A32" s="30"/>
      <c r="B32" s="41" t="s">
        <v>43</v>
      </c>
      <c r="C32" s="26" t="s">
        <v>135</v>
      </c>
      <c r="D32" s="20"/>
      <c r="E32" s="26" t="s">
        <v>44</v>
      </c>
      <c r="F32" s="20"/>
      <c r="G32" s="51">
        <v>2.0</v>
      </c>
      <c r="H32" s="51">
        <v>3.0</v>
      </c>
      <c r="I32" s="51">
        <v>3.0</v>
      </c>
      <c r="J32" s="51">
        <v>3.0</v>
      </c>
      <c r="K32" s="54">
        <v>3.0</v>
      </c>
      <c r="L32" s="33">
        <v>0.0</v>
      </c>
      <c r="M32" s="29">
        <v>0.0</v>
      </c>
      <c r="N32" s="29">
        <v>0.0</v>
      </c>
      <c r="O32" s="26">
        <v>0.0</v>
      </c>
      <c r="P32" s="26">
        <v>0.0</v>
      </c>
      <c r="Q32" s="26">
        <v>0.0</v>
      </c>
      <c r="R32" s="26">
        <v>0.0</v>
      </c>
      <c r="S32" s="26">
        <v>0.0</v>
      </c>
      <c r="T32" s="26">
        <v>0.0</v>
      </c>
      <c r="U32" s="26">
        <v>0.0</v>
      </c>
      <c r="V32" s="29">
        <v>0.0</v>
      </c>
      <c r="W32" s="29">
        <v>0.0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5" customHeight="1">
      <c r="A33" s="30"/>
      <c r="B33" s="34"/>
      <c r="C33" s="29"/>
      <c r="D33" s="29"/>
      <c r="E33" s="29"/>
      <c r="F33" s="29"/>
      <c r="G33" s="51"/>
      <c r="H33" s="51"/>
      <c r="I33" s="51"/>
      <c r="J33" s="51"/>
      <c r="K33" s="54"/>
      <c r="L33" s="37">
        <v>1.0</v>
      </c>
      <c r="M33" s="29"/>
      <c r="N33" s="29"/>
      <c r="O33" s="26"/>
      <c r="P33" s="26"/>
      <c r="Q33" s="26"/>
      <c r="R33" s="26"/>
      <c r="S33" s="26"/>
      <c r="T33" s="26"/>
      <c r="U33" s="26"/>
      <c r="V33" s="29"/>
      <c r="W33" s="29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5" customHeight="1">
      <c r="A34" s="30"/>
      <c r="B34" s="34"/>
      <c r="C34" s="26" t="s">
        <v>136</v>
      </c>
      <c r="D34" s="20"/>
      <c r="E34" s="26" t="s">
        <v>44</v>
      </c>
      <c r="F34" s="20"/>
      <c r="G34" s="51">
        <v>2.0</v>
      </c>
      <c r="H34" s="51">
        <v>3.0</v>
      </c>
      <c r="I34" s="51">
        <v>3.0</v>
      </c>
      <c r="J34" s="51">
        <v>3.0</v>
      </c>
      <c r="K34" s="54">
        <v>3.0</v>
      </c>
      <c r="L34" s="33">
        <v>0.0</v>
      </c>
      <c r="M34" s="29">
        <v>0.0</v>
      </c>
      <c r="N34" s="29">
        <v>0.0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0.0</v>
      </c>
      <c r="V34" s="29">
        <v>0.0</v>
      </c>
      <c r="W34" s="29">
        <v>0.0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6.5" customHeight="1">
      <c r="A35" s="30"/>
      <c r="B35" s="34"/>
      <c r="C35" s="29"/>
      <c r="D35" s="29"/>
      <c r="E35" s="29"/>
      <c r="F35" s="29"/>
      <c r="G35" s="51"/>
      <c r="H35" s="51"/>
      <c r="I35" s="51"/>
      <c r="J35" s="51"/>
      <c r="K35" s="54"/>
      <c r="L35" s="37">
        <v>1.0</v>
      </c>
      <c r="M35" s="29"/>
      <c r="N35" s="29"/>
      <c r="O35" s="26"/>
      <c r="P35" s="26"/>
      <c r="Q35" s="26"/>
      <c r="R35" s="26"/>
      <c r="S35" s="26"/>
      <c r="T35" s="26"/>
      <c r="U35" s="26"/>
      <c r="V35" s="29"/>
      <c r="W35" s="29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6.5" customHeight="1">
      <c r="A36" s="30"/>
      <c r="B36" s="34"/>
      <c r="C36" s="26" t="s">
        <v>137</v>
      </c>
      <c r="D36" s="20"/>
      <c r="E36" s="26" t="s">
        <v>44</v>
      </c>
      <c r="F36" s="20"/>
      <c r="G36" s="51">
        <v>1.0</v>
      </c>
      <c r="H36" s="51">
        <v>3.0</v>
      </c>
      <c r="I36" s="51">
        <v>3.0</v>
      </c>
      <c r="J36" s="51">
        <v>3.0</v>
      </c>
      <c r="K36" s="54">
        <v>3.0</v>
      </c>
      <c r="L36" s="33">
        <v>0.0</v>
      </c>
      <c r="M36" s="29">
        <v>0.0</v>
      </c>
      <c r="N36" s="29">
        <v>0.0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9">
        <v>0.0</v>
      </c>
      <c r="W36" s="29">
        <v>0.0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6.5" customHeight="1">
      <c r="A37" s="30"/>
      <c r="B37" s="34"/>
      <c r="C37" s="29"/>
      <c r="D37" s="29"/>
      <c r="E37" s="29"/>
      <c r="F37" s="29"/>
      <c r="G37" s="51"/>
      <c r="H37" s="51"/>
      <c r="I37" s="51"/>
      <c r="J37" s="51"/>
      <c r="K37" s="54"/>
      <c r="L37" s="37">
        <v>2.0</v>
      </c>
      <c r="M37" s="29"/>
      <c r="N37" s="29"/>
      <c r="O37" s="26"/>
      <c r="P37" s="26"/>
      <c r="Q37" s="26"/>
      <c r="R37" s="26"/>
      <c r="S37" s="26"/>
      <c r="T37" s="26"/>
      <c r="U37" s="26"/>
      <c r="V37" s="29"/>
      <c r="W37" s="29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6.5" customHeight="1">
      <c r="A38" s="30"/>
      <c r="B38" s="34"/>
      <c r="C38" s="26" t="s">
        <v>138</v>
      </c>
      <c r="D38" s="20"/>
      <c r="E38" s="26" t="s">
        <v>45</v>
      </c>
      <c r="F38" s="20"/>
      <c r="G38" s="51">
        <v>3.0</v>
      </c>
      <c r="H38" s="51">
        <v>3.0</v>
      </c>
      <c r="I38" s="51">
        <v>3.0</v>
      </c>
      <c r="J38" s="51">
        <v>3.0</v>
      </c>
      <c r="K38" s="54">
        <v>3.0</v>
      </c>
      <c r="L38" s="33">
        <v>0.0</v>
      </c>
      <c r="M38" s="29">
        <v>0.0</v>
      </c>
      <c r="N38" s="29">
        <v>0.0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9">
        <v>0.0</v>
      </c>
      <c r="W38" s="29">
        <v>0.0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16.5" customHeight="1">
      <c r="A39" s="30"/>
      <c r="B39" s="34"/>
      <c r="C39" s="26" t="s">
        <v>139</v>
      </c>
      <c r="D39" s="20"/>
      <c r="E39" s="26" t="s">
        <v>27</v>
      </c>
      <c r="F39" s="20"/>
      <c r="G39" s="51">
        <v>2.0</v>
      </c>
      <c r="H39" s="51">
        <v>4.0</v>
      </c>
      <c r="I39" s="51">
        <v>4.0</v>
      </c>
      <c r="J39" s="51">
        <v>4.0</v>
      </c>
      <c r="K39" s="54">
        <v>4.0</v>
      </c>
      <c r="L39" s="33">
        <v>0.0</v>
      </c>
      <c r="M39" s="29">
        <v>0.0</v>
      </c>
      <c r="N39" s="29">
        <v>0.0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9">
        <v>0.0</v>
      </c>
      <c r="W39" s="29">
        <v>0.0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5" customHeight="1">
      <c r="A40" s="30"/>
      <c r="B40" s="36"/>
      <c r="C40" s="29"/>
      <c r="D40" s="29"/>
      <c r="E40" s="29"/>
      <c r="F40" s="29"/>
      <c r="G40" s="51"/>
      <c r="H40" s="51"/>
      <c r="I40" s="55"/>
      <c r="J40" s="55"/>
      <c r="K40" s="55"/>
      <c r="L40" s="37">
        <v>2.0</v>
      </c>
      <c r="M40" s="29"/>
      <c r="N40" s="29"/>
      <c r="O40" s="26"/>
      <c r="P40" s="26"/>
      <c r="Q40" s="26"/>
      <c r="R40" s="26"/>
      <c r="S40" s="26"/>
      <c r="T40" s="26"/>
      <c r="U40" s="26"/>
      <c r="V40" s="29"/>
      <c r="W40" s="29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5" customHeight="1">
      <c r="A41" s="30"/>
      <c r="B41" s="41" t="s">
        <v>47</v>
      </c>
      <c r="C41" s="26" t="s">
        <v>140</v>
      </c>
      <c r="D41" s="20"/>
      <c r="E41" s="26" t="s">
        <v>49</v>
      </c>
      <c r="F41" s="20"/>
      <c r="G41" s="51">
        <v>2.0</v>
      </c>
      <c r="H41" s="51">
        <v>4.0</v>
      </c>
      <c r="I41" s="51">
        <v>4.0</v>
      </c>
      <c r="J41" s="51">
        <v>4.0</v>
      </c>
      <c r="K41" s="51">
        <v>4.0</v>
      </c>
      <c r="L41" s="33">
        <v>0.0</v>
      </c>
      <c r="M41" s="26">
        <v>0.0</v>
      </c>
      <c r="N41" s="26">
        <v>0.0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0.0</v>
      </c>
      <c r="V41" s="29">
        <v>0.0</v>
      </c>
      <c r="W41" s="29">
        <v>0.0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5" customHeight="1">
      <c r="A42" s="30"/>
      <c r="B42" s="34"/>
      <c r="C42" s="29"/>
      <c r="D42" s="29"/>
      <c r="E42" s="29"/>
      <c r="F42" s="29"/>
      <c r="G42" s="51"/>
      <c r="H42" s="51"/>
      <c r="I42" s="55"/>
      <c r="J42" s="55"/>
      <c r="K42" s="55"/>
      <c r="L42" s="37">
        <v>2.0</v>
      </c>
      <c r="M42" s="26"/>
      <c r="N42" s="26"/>
      <c r="O42" s="26"/>
      <c r="P42" s="26"/>
      <c r="Q42" s="26"/>
      <c r="R42" s="26"/>
      <c r="S42" s="26"/>
      <c r="T42" s="26"/>
      <c r="U42" s="26"/>
      <c r="V42" s="29"/>
      <c r="W42" s="29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5" customHeight="1">
      <c r="A43" s="30"/>
      <c r="B43" s="34"/>
      <c r="C43" s="26" t="s">
        <v>141</v>
      </c>
      <c r="D43" s="20"/>
      <c r="E43" s="26" t="s">
        <v>49</v>
      </c>
      <c r="F43" s="20"/>
      <c r="G43" s="51">
        <v>3.0</v>
      </c>
      <c r="H43" s="51">
        <v>4.0</v>
      </c>
      <c r="I43" s="51">
        <v>4.0</v>
      </c>
      <c r="J43" s="51">
        <v>4.0</v>
      </c>
      <c r="K43" s="51">
        <v>4.0</v>
      </c>
      <c r="L43" s="51">
        <v>4.0</v>
      </c>
      <c r="M43" s="52">
        <v>0.0</v>
      </c>
      <c r="N43" s="26">
        <v>0.0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9">
        <v>0.0</v>
      </c>
      <c r="W43" s="29">
        <v>0.0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5" customHeight="1">
      <c r="A44" s="30"/>
      <c r="B44" s="34"/>
      <c r="C44" s="29"/>
      <c r="D44" s="29"/>
      <c r="E44" s="29"/>
      <c r="F44" s="29"/>
      <c r="G44" s="51"/>
      <c r="H44" s="51"/>
      <c r="I44" s="51"/>
      <c r="J44" s="51"/>
      <c r="K44" s="51"/>
      <c r="L44" s="51"/>
      <c r="M44" s="53">
        <v>1.0</v>
      </c>
      <c r="N44" s="26"/>
      <c r="O44" s="26"/>
      <c r="P44" s="26"/>
      <c r="Q44" s="26"/>
      <c r="R44" s="26"/>
      <c r="S44" s="26"/>
      <c r="T44" s="26"/>
      <c r="U44" s="26"/>
      <c r="V44" s="29"/>
      <c r="W44" s="29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5" customHeight="1">
      <c r="A45" s="30"/>
      <c r="B45" s="34"/>
      <c r="C45" s="26" t="s">
        <v>142</v>
      </c>
      <c r="D45" s="20"/>
      <c r="E45" s="26" t="s">
        <v>52</v>
      </c>
      <c r="F45" s="20"/>
      <c r="G45" s="51">
        <v>2.0</v>
      </c>
      <c r="H45" s="51">
        <v>4.0</v>
      </c>
      <c r="I45" s="51">
        <v>4.0</v>
      </c>
      <c r="J45" s="51">
        <v>4.0</v>
      </c>
      <c r="K45" s="51">
        <v>4.0</v>
      </c>
      <c r="L45" s="51">
        <v>4.0</v>
      </c>
      <c r="M45" s="52">
        <v>0.0</v>
      </c>
      <c r="N45" s="26">
        <v>0.0</v>
      </c>
      <c r="O45" s="26">
        <v>0.0</v>
      </c>
      <c r="P45" s="26">
        <v>0.0</v>
      </c>
      <c r="Q45" s="26">
        <v>0.0</v>
      </c>
      <c r="R45" s="26">
        <v>0.0</v>
      </c>
      <c r="S45" s="26">
        <v>0.0</v>
      </c>
      <c r="T45" s="26">
        <v>0.0</v>
      </c>
      <c r="U45" s="26">
        <v>0.0</v>
      </c>
      <c r="V45" s="29">
        <v>0.0</v>
      </c>
      <c r="W45" s="29">
        <v>0.0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5" customHeight="1">
      <c r="A46" s="30"/>
      <c r="B46" s="34"/>
      <c r="C46" s="29"/>
      <c r="D46" s="29"/>
      <c r="E46" s="29"/>
      <c r="F46" s="29"/>
      <c r="G46" s="51"/>
      <c r="H46" s="51"/>
      <c r="I46" s="51"/>
      <c r="J46" s="51"/>
      <c r="K46" s="51"/>
      <c r="L46" s="51"/>
      <c r="M46" s="53">
        <v>2.0</v>
      </c>
      <c r="N46" s="26"/>
      <c r="O46" s="26"/>
      <c r="P46" s="26"/>
      <c r="Q46" s="26"/>
      <c r="R46" s="26"/>
      <c r="S46" s="26"/>
      <c r="T46" s="26"/>
      <c r="U46" s="26"/>
      <c r="V46" s="29"/>
      <c r="W46" s="29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5" customHeight="1">
      <c r="A47" s="30"/>
      <c r="B47" s="34"/>
      <c r="C47" s="26" t="s">
        <v>143</v>
      </c>
      <c r="D47" s="20"/>
      <c r="E47" s="26" t="s">
        <v>49</v>
      </c>
      <c r="F47" s="20"/>
      <c r="G47" s="51">
        <v>1.0</v>
      </c>
      <c r="H47" s="51">
        <v>4.0</v>
      </c>
      <c r="I47" s="51">
        <v>4.0</v>
      </c>
      <c r="J47" s="51">
        <v>4.0</v>
      </c>
      <c r="K47" s="51">
        <v>4.0</v>
      </c>
      <c r="L47" s="51">
        <v>4.0</v>
      </c>
      <c r="M47" s="52">
        <v>0.0</v>
      </c>
      <c r="N47" s="26">
        <v>0.0</v>
      </c>
      <c r="O47" s="26">
        <v>0.0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9">
        <v>0.0</v>
      </c>
      <c r="W47" s="29">
        <v>0.0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5" customHeight="1">
      <c r="A48" s="30"/>
      <c r="B48" s="34"/>
      <c r="C48" s="29"/>
      <c r="D48" s="29"/>
      <c r="E48" s="29"/>
      <c r="F48" s="29"/>
      <c r="G48" s="51"/>
      <c r="H48" s="51"/>
      <c r="I48" s="51"/>
      <c r="J48" s="51"/>
      <c r="K48" s="51"/>
      <c r="L48" s="51"/>
      <c r="M48" s="53">
        <v>3.0</v>
      </c>
      <c r="N48" s="26"/>
      <c r="O48" s="26"/>
      <c r="P48" s="26"/>
      <c r="Q48" s="26"/>
      <c r="R48" s="26"/>
      <c r="S48" s="26"/>
      <c r="T48" s="26"/>
      <c r="U48" s="26"/>
      <c r="V48" s="29"/>
      <c r="W48" s="29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5" customHeight="1">
      <c r="A49" s="30"/>
      <c r="B49" s="34"/>
      <c r="C49" s="26" t="s">
        <v>144</v>
      </c>
      <c r="D49" s="20"/>
      <c r="E49" s="26" t="s">
        <v>49</v>
      </c>
      <c r="F49" s="20"/>
      <c r="G49" s="51">
        <v>2.0</v>
      </c>
      <c r="H49" s="51">
        <v>4.0</v>
      </c>
      <c r="I49" s="51">
        <v>4.0</v>
      </c>
      <c r="J49" s="51">
        <v>4.0</v>
      </c>
      <c r="K49" s="51">
        <v>4.0</v>
      </c>
      <c r="L49" s="51">
        <v>4.0</v>
      </c>
      <c r="M49" s="52">
        <v>0.0</v>
      </c>
      <c r="N49" s="26">
        <v>0.0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9">
        <v>0.0</v>
      </c>
      <c r="W49" s="29">
        <v>0.0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5" customHeight="1">
      <c r="A50" s="30"/>
      <c r="B50" s="34"/>
      <c r="C50" s="29"/>
      <c r="D50" s="29"/>
      <c r="E50" s="29"/>
      <c r="F50" s="29"/>
      <c r="G50" s="51"/>
      <c r="H50" s="51"/>
      <c r="I50" s="51"/>
      <c r="J50" s="51"/>
      <c r="K50" s="51"/>
      <c r="L50" s="51"/>
      <c r="M50" s="53">
        <v>2.0</v>
      </c>
      <c r="N50" s="26"/>
      <c r="O50" s="26"/>
      <c r="P50" s="26"/>
      <c r="Q50" s="26"/>
      <c r="R50" s="26"/>
      <c r="S50" s="26"/>
      <c r="T50" s="26"/>
      <c r="U50" s="26"/>
      <c r="V50" s="29"/>
      <c r="W50" s="29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5" customHeight="1">
      <c r="A51" s="30"/>
      <c r="B51" s="34"/>
      <c r="C51" s="26" t="s">
        <v>145</v>
      </c>
      <c r="D51" s="20"/>
      <c r="E51" s="26" t="s">
        <v>52</v>
      </c>
      <c r="F51" s="20"/>
      <c r="G51" s="51">
        <v>2.0</v>
      </c>
      <c r="H51" s="51">
        <v>4.0</v>
      </c>
      <c r="I51" s="51">
        <v>4.0</v>
      </c>
      <c r="J51" s="51">
        <v>4.0</v>
      </c>
      <c r="K51" s="51">
        <v>4.0</v>
      </c>
      <c r="L51" s="51">
        <v>4.0</v>
      </c>
      <c r="M51" s="52">
        <v>0.0</v>
      </c>
      <c r="N51" s="26">
        <v>0.0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9">
        <v>0.0</v>
      </c>
      <c r="W51" s="29">
        <v>0.0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6.5" customHeight="1">
      <c r="A52" s="30"/>
      <c r="B52" s="34"/>
      <c r="C52" s="29"/>
      <c r="D52" s="29"/>
      <c r="E52" s="29"/>
      <c r="F52" s="29"/>
      <c r="G52" s="51"/>
      <c r="H52" s="51"/>
      <c r="I52" s="55"/>
      <c r="J52" s="55"/>
      <c r="K52" s="55"/>
      <c r="L52" s="55"/>
      <c r="M52" s="53">
        <v>2.0</v>
      </c>
      <c r="N52" s="26"/>
      <c r="O52" s="26"/>
      <c r="P52" s="26"/>
      <c r="Q52" s="26"/>
      <c r="R52" s="26"/>
      <c r="S52" s="26"/>
      <c r="T52" s="26"/>
      <c r="U52" s="26"/>
      <c r="V52" s="29"/>
      <c r="W52" s="29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6.5" customHeight="1">
      <c r="A53" s="30"/>
      <c r="B53" s="34"/>
      <c r="C53" s="26" t="s">
        <v>146</v>
      </c>
      <c r="D53" s="20"/>
      <c r="E53" s="26" t="s">
        <v>49</v>
      </c>
      <c r="F53" s="20"/>
      <c r="G53" s="51">
        <v>2.0</v>
      </c>
      <c r="H53" s="51">
        <v>4.0</v>
      </c>
      <c r="I53" s="51">
        <v>4.0</v>
      </c>
      <c r="J53" s="51">
        <v>4.0</v>
      </c>
      <c r="K53" s="51">
        <v>4.0</v>
      </c>
      <c r="L53" s="51">
        <v>4.0</v>
      </c>
      <c r="M53" s="51">
        <v>4.0</v>
      </c>
      <c r="N53" s="52">
        <v>0.0</v>
      </c>
      <c r="O53" s="26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9">
        <v>0.0</v>
      </c>
      <c r="W53" s="29">
        <v>0.0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6.5" customHeight="1">
      <c r="A54" s="30"/>
      <c r="B54" s="34"/>
      <c r="C54" s="29"/>
      <c r="D54" s="29"/>
      <c r="E54" s="29"/>
      <c r="F54" s="29"/>
      <c r="G54" s="51"/>
      <c r="H54" s="51"/>
      <c r="I54" s="51"/>
      <c r="J54" s="51"/>
      <c r="K54" s="51"/>
      <c r="L54" s="51"/>
      <c r="M54" s="51"/>
      <c r="N54" s="53">
        <v>2.0</v>
      </c>
      <c r="O54" s="26"/>
      <c r="P54" s="26"/>
      <c r="Q54" s="26"/>
      <c r="R54" s="26"/>
      <c r="S54" s="26"/>
      <c r="T54" s="26"/>
      <c r="U54" s="26"/>
      <c r="V54" s="29"/>
      <c r="W54" s="29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6.5" customHeight="1">
      <c r="A55" s="30"/>
      <c r="B55" s="34"/>
      <c r="C55" s="26" t="s">
        <v>147</v>
      </c>
      <c r="D55" s="20"/>
      <c r="E55" s="26" t="s">
        <v>49</v>
      </c>
      <c r="F55" s="20"/>
      <c r="G55" s="51">
        <v>2.0</v>
      </c>
      <c r="H55" s="51">
        <v>4.0</v>
      </c>
      <c r="I55" s="51">
        <v>4.0</v>
      </c>
      <c r="J55" s="51">
        <v>4.0</v>
      </c>
      <c r="K55" s="51">
        <v>4.0</v>
      </c>
      <c r="L55" s="51">
        <v>4.0</v>
      </c>
      <c r="M55" s="51">
        <v>4.0</v>
      </c>
      <c r="N55" s="52">
        <v>0.0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9">
        <v>0.0</v>
      </c>
      <c r="W55" s="29">
        <v>0.0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16.5" customHeight="1">
      <c r="A56" s="30"/>
      <c r="B56" s="34"/>
      <c r="C56" s="29"/>
      <c r="D56" s="29"/>
      <c r="E56" s="29"/>
      <c r="F56" s="29"/>
      <c r="G56" s="51"/>
      <c r="H56" s="51"/>
      <c r="I56" s="51"/>
      <c r="J56" s="51"/>
      <c r="K56" s="51"/>
      <c r="L56" s="51"/>
      <c r="M56" s="51"/>
      <c r="N56" s="53">
        <v>2.0</v>
      </c>
      <c r="O56" s="26"/>
      <c r="P56" s="26"/>
      <c r="Q56" s="26"/>
      <c r="R56" s="26"/>
      <c r="S56" s="26"/>
      <c r="T56" s="26"/>
      <c r="U56" s="26"/>
      <c r="V56" s="29"/>
      <c r="W56" s="29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5" customHeight="1">
      <c r="A57" s="30"/>
      <c r="B57" s="34"/>
      <c r="C57" s="26" t="s">
        <v>148</v>
      </c>
      <c r="D57" s="20"/>
      <c r="E57" s="26" t="s">
        <v>52</v>
      </c>
      <c r="F57" s="20"/>
      <c r="G57" s="51">
        <v>2.0</v>
      </c>
      <c r="H57" s="51">
        <v>4.0</v>
      </c>
      <c r="I57" s="51">
        <v>4.0</v>
      </c>
      <c r="J57" s="51">
        <v>4.0</v>
      </c>
      <c r="K57" s="51">
        <v>4.0</v>
      </c>
      <c r="L57" s="51">
        <v>4.0</v>
      </c>
      <c r="M57" s="51">
        <v>4.0</v>
      </c>
      <c r="N57" s="52">
        <v>0.0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9">
        <v>0.0</v>
      </c>
      <c r="W57" s="29">
        <v>0.0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5" customHeight="1">
      <c r="A58" s="30"/>
      <c r="B58" s="34"/>
      <c r="C58" s="29"/>
      <c r="D58" s="29"/>
      <c r="E58" s="29"/>
      <c r="F58" s="29"/>
      <c r="G58" s="51"/>
      <c r="H58" s="51"/>
      <c r="I58" s="51"/>
      <c r="J58" s="51"/>
      <c r="K58" s="51"/>
      <c r="L58" s="51"/>
      <c r="M58" s="51"/>
      <c r="N58" s="53">
        <v>2.0</v>
      </c>
      <c r="O58" s="26"/>
      <c r="P58" s="26"/>
      <c r="Q58" s="26"/>
      <c r="R58" s="26"/>
      <c r="S58" s="26"/>
      <c r="T58" s="26"/>
      <c r="U58" s="26"/>
      <c r="V58" s="29"/>
      <c r="W58" s="29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5" customHeight="1">
      <c r="A59" s="30"/>
      <c r="B59" s="34"/>
      <c r="C59" s="26" t="s">
        <v>149</v>
      </c>
      <c r="D59" s="20"/>
      <c r="E59" s="26" t="s">
        <v>49</v>
      </c>
      <c r="F59" s="20"/>
      <c r="G59" s="51">
        <v>2.0</v>
      </c>
      <c r="H59" s="51">
        <v>4.0</v>
      </c>
      <c r="I59" s="51">
        <v>4.0</v>
      </c>
      <c r="J59" s="51">
        <v>4.0</v>
      </c>
      <c r="K59" s="51">
        <v>4.0</v>
      </c>
      <c r="L59" s="51">
        <v>4.0</v>
      </c>
      <c r="M59" s="51">
        <v>4.0</v>
      </c>
      <c r="N59" s="52">
        <v>0.0</v>
      </c>
      <c r="O59" s="26">
        <v>0.0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9">
        <v>0.0</v>
      </c>
      <c r="W59" s="29">
        <v>0.0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5" customHeight="1">
      <c r="A60" s="30"/>
      <c r="B60" s="34"/>
      <c r="C60" s="29"/>
      <c r="D60" s="29"/>
      <c r="E60" s="29"/>
      <c r="F60" s="29"/>
      <c r="G60" s="51"/>
      <c r="H60" s="51"/>
      <c r="I60" s="51"/>
      <c r="J60" s="51"/>
      <c r="K60" s="51"/>
      <c r="L60" s="51"/>
      <c r="M60" s="51"/>
      <c r="N60" s="53">
        <v>2.0</v>
      </c>
      <c r="O60" s="26"/>
      <c r="P60" s="26"/>
      <c r="Q60" s="26"/>
      <c r="R60" s="26"/>
      <c r="S60" s="26"/>
      <c r="T60" s="26"/>
      <c r="U60" s="26"/>
      <c r="V60" s="29"/>
      <c r="W60" s="29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5" customHeight="1">
      <c r="A61" s="30"/>
      <c r="B61" s="34"/>
      <c r="C61" s="26" t="s">
        <v>150</v>
      </c>
      <c r="D61" s="20"/>
      <c r="E61" s="26" t="s">
        <v>49</v>
      </c>
      <c r="F61" s="20"/>
      <c r="G61" s="51">
        <v>3.0</v>
      </c>
      <c r="H61" s="51">
        <v>4.0</v>
      </c>
      <c r="I61" s="51">
        <v>4.0</v>
      </c>
      <c r="J61" s="51">
        <v>4.0</v>
      </c>
      <c r="K61" s="51">
        <v>4.0</v>
      </c>
      <c r="L61" s="51">
        <v>4.0</v>
      </c>
      <c r="M61" s="51">
        <v>4.0</v>
      </c>
      <c r="N61" s="52">
        <v>0.0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9">
        <v>0.0</v>
      </c>
      <c r="W61" s="29">
        <v>0.0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5" customHeight="1">
      <c r="A62" s="30"/>
      <c r="B62" s="34"/>
      <c r="C62" s="29"/>
      <c r="D62" s="29"/>
      <c r="E62" s="29"/>
      <c r="F62" s="29"/>
      <c r="G62" s="51"/>
      <c r="H62" s="51"/>
      <c r="I62" s="51"/>
      <c r="J62" s="51"/>
      <c r="K62" s="51"/>
      <c r="L62" s="51"/>
      <c r="M62" s="51"/>
      <c r="N62" s="53">
        <v>1.0</v>
      </c>
      <c r="O62" s="26"/>
      <c r="P62" s="26"/>
      <c r="Q62" s="26"/>
      <c r="R62" s="26"/>
      <c r="S62" s="26"/>
      <c r="T62" s="26"/>
      <c r="U62" s="26"/>
      <c r="V62" s="29"/>
      <c r="W62" s="29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5" customHeight="1">
      <c r="A63" s="30"/>
      <c r="B63" s="34"/>
      <c r="C63" s="26" t="s">
        <v>151</v>
      </c>
      <c r="D63" s="20"/>
      <c r="E63" s="26" t="s">
        <v>52</v>
      </c>
      <c r="F63" s="20"/>
      <c r="G63" s="51">
        <v>3.0</v>
      </c>
      <c r="H63" s="51">
        <v>4.0</v>
      </c>
      <c r="I63" s="51">
        <v>4.0</v>
      </c>
      <c r="J63" s="51">
        <v>4.0</v>
      </c>
      <c r="K63" s="51">
        <v>4.0</v>
      </c>
      <c r="L63" s="51">
        <v>4.0</v>
      </c>
      <c r="M63" s="51">
        <v>4.0</v>
      </c>
      <c r="N63" s="52">
        <v>0.0</v>
      </c>
      <c r="O63" s="26">
        <v>0.0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9">
        <v>0.0</v>
      </c>
      <c r="W63" s="29">
        <v>0.0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5" customHeight="1">
      <c r="A64" s="30"/>
      <c r="B64" s="34"/>
      <c r="C64" s="29"/>
      <c r="D64" s="29"/>
      <c r="E64" s="29"/>
      <c r="F64" s="29"/>
      <c r="G64" s="51"/>
      <c r="H64" s="51"/>
      <c r="I64" s="55"/>
      <c r="J64" s="55"/>
      <c r="K64" s="55"/>
      <c r="L64" s="55"/>
      <c r="M64" s="55"/>
      <c r="N64" s="53">
        <v>1.0</v>
      </c>
      <c r="O64" s="26"/>
      <c r="P64" s="26"/>
      <c r="Q64" s="26"/>
      <c r="R64" s="26"/>
      <c r="S64" s="26"/>
      <c r="T64" s="26"/>
      <c r="U64" s="26"/>
      <c r="V64" s="29"/>
      <c r="W64" s="29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5" customHeight="1">
      <c r="A65" s="30"/>
      <c r="B65" s="34"/>
      <c r="C65" s="26" t="s">
        <v>152</v>
      </c>
      <c r="D65" s="20"/>
      <c r="E65" s="26" t="s">
        <v>49</v>
      </c>
      <c r="F65" s="20"/>
      <c r="G65" s="51">
        <v>2.0</v>
      </c>
      <c r="H65" s="51">
        <v>4.0</v>
      </c>
      <c r="I65" s="51">
        <v>4.0</v>
      </c>
      <c r="J65" s="51">
        <v>4.0</v>
      </c>
      <c r="K65" s="51">
        <v>4.0</v>
      </c>
      <c r="L65" s="51">
        <v>4.0</v>
      </c>
      <c r="M65" s="51">
        <v>4.0</v>
      </c>
      <c r="N65" s="51">
        <v>4.0</v>
      </c>
      <c r="O65" s="52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9">
        <v>0.0</v>
      </c>
      <c r="W65" s="29">
        <v>0.0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5" customHeight="1">
      <c r="A66" s="30"/>
      <c r="B66" s="34"/>
      <c r="C66" s="29"/>
      <c r="D66" s="29"/>
      <c r="E66" s="29"/>
      <c r="F66" s="29"/>
      <c r="G66" s="51"/>
      <c r="H66" s="51"/>
      <c r="I66" s="51"/>
      <c r="J66" s="51"/>
      <c r="K66" s="51"/>
      <c r="L66" s="51"/>
      <c r="M66" s="51"/>
      <c r="N66" s="51"/>
      <c r="O66" s="53">
        <v>2.0</v>
      </c>
      <c r="P66" s="26"/>
      <c r="Q66" s="26"/>
      <c r="R66" s="26"/>
      <c r="S66" s="26"/>
      <c r="T66" s="26"/>
      <c r="U66" s="26"/>
      <c r="V66" s="29"/>
      <c r="W66" s="29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5" customHeight="1">
      <c r="A67" s="30"/>
      <c r="B67" s="34"/>
      <c r="C67" s="26" t="s">
        <v>153</v>
      </c>
      <c r="D67" s="20"/>
      <c r="E67" s="26" t="s">
        <v>49</v>
      </c>
      <c r="F67" s="20"/>
      <c r="G67" s="51">
        <v>3.0</v>
      </c>
      <c r="H67" s="51">
        <v>4.0</v>
      </c>
      <c r="I67" s="51">
        <v>4.0</v>
      </c>
      <c r="J67" s="51">
        <v>4.0</v>
      </c>
      <c r="K67" s="51">
        <v>4.0</v>
      </c>
      <c r="L67" s="51">
        <v>4.0</v>
      </c>
      <c r="M67" s="51">
        <v>4.0</v>
      </c>
      <c r="N67" s="51">
        <v>4.0</v>
      </c>
      <c r="O67" s="52">
        <v>0.0</v>
      </c>
      <c r="P67" s="26">
        <v>0.0</v>
      </c>
      <c r="Q67" s="26">
        <v>0.0</v>
      </c>
      <c r="R67" s="26">
        <v>0.0</v>
      </c>
      <c r="S67" s="26">
        <v>0.0</v>
      </c>
      <c r="T67" s="26">
        <v>0.0</v>
      </c>
      <c r="U67" s="26">
        <v>0.0</v>
      </c>
      <c r="V67" s="29">
        <v>0.0</v>
      </c>
      <c r="W67" s="29">
        <v>0.0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5" customHeight="1">
      <c r="A68" s="30"/>
      <c r="B68" s="34"/>
      <c r="C68" s="29"/>
      <c r="D68" s="29"/>
      <c r="E68" s="29"/>
      <c r="F68" s="29"/>
      <c r="G68" s="51"/>
      <c r="H68" s="51"/>
      <c r="I68" s="51"/>
      <c r="J68" s="51"/>
      <c r="K68" s="51"/>
      <c r="L68" s="51"/>
      <c r="M68" s="51"/>
      <c r="N68" s="51"/>
      <c r="O68" s="53">
        <v>1.0</v>
      </c>
      <c r="P68" s="26"/>
      <c r="Q68" s="26"/>
      <c r="R68" s="26"/>
      <c r="S68" s="26"/>
      <c r="T68" s="26"/>
      <c r="U68" s="26"/>
      <c r="V68" s="29"/>
      <c r="W68" s="29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6.5" customHeight="1">
      <c r="A69" s="30"/>
      <c r="B69" s="36"/>
      <c r="C69" s="26" t="s">
        <v>154</v>
      </c>
      <c r="D69" s="20"/>
      <c r="E69" s="26" t="s">
        <v>52</v>
      </c>
      <c r="F69" s="20"/>
      <c r="G69" s="51">
        <v>2.0</v>
      </c>
      <c r="H69" s="51">
        <v>4.0</v>
      </c>
      <c r="I69" s="51">
        <v>4.0</v>
      </c>
      <c r="J69" s="51">
        <v>4.0</v>
      </c>
      <c r="K69" s="51">
        <v>4.0</v>
      </c>
      <c r="L69" s="51">
        <v>4.0</v>
      </c>
      <c r="M69" s="51">
        <v>4.0</v>
      </c>
      <c r="N69" s="51">
        <v>4.0</v>
      </c>
      <c r="O69" s="52">
        <v>0.0</v>
      </c>
      <c r="P69" s="26">
        <v>0.0</v>
      </c>
      <c r="Q69" s="26">
        <v>0.0</v>
      </c>
      <c r="R69" s="26">
        <v>0.0</v>
      </c>
      <c r="S69" s="26">
        <v>0.0</v>
      </c>
      <c r="T69" s="26">
        <v>0.0</v>
      </c>
      <c r="U69" s="26">
        <v>0.0</v>
      </c>
      <c r="V69" s="29">
        <v>0.0</v>
      </c>
      <c r="W69" s="29">
        <v>0.0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6.5" customHeight="1">
      <c r="A70" s="30"/>
      <c r="B70" s="41" t="s">
        <v>86</v>
      </c>
      <c r="C70" s="29"/>
      <c r="D70" s="29"/>
      <c r="E70" s="29"/>
      <c r="F70" s="29"/>
      <c r="G70" s="51"/>
      <c r="H70" s="51"/>
      <c r="I70" s="51"/>
      <c r="J70" s="51"/>
      <c r="K70" s="51"/>
      <c r="L70" s="51"/>
      <c r="M70" s="51"/>
      <c r="N70" s="51"/>
      <c r="O70" s="53">
        <v>2.0</v>
      </c>
      <c r="P70" s="26"/>
      <c r="Q70" s="26"/>
      <c r="R70" s="26"/>
      <c r="S70" s="26"/>
      <c r="T70" s="26"/>
      <c r="U70" s="26"/>
      <c r="V70" s="29"/>
      <c r="W70" s="29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6.5" customHeight="1">
      <c r="A71" s="30"/>
      <c r="B71" s="34"/>
      <c r="C71" s="26" t="s">
        <v>155</v>
      </c>
      <c r="D71" s="20"/>
      <c r="E71" s="26" t="s">
        <v>44</v>
      </c>
      <c r="F71" s="20"/>
      <c r="G71" s="51">
        <v>2.0</v>
      </c>
      <c r="H71" s="51">
        <v>5.0</v>
      </c>
      <c r="I71" s="51">
        <v>5.0</v>
      </c>
      <c r="J71" s="51">
        <v>5.0</v>
      </c>
      <c r="K71" s="51">
        <v>5.0</v>
      </c>
      <c r="L71" s="51">
        <v>5.0</v>
      </c>
      <c r="M71" s="51">
        <v>5.0</v>
      </c>
      <c r="N71" s="51">
        <v>5.0</v>
      </c>
      <c r="O71" s="52">
        <v>0.0</v>
      </c>
      <c r="P71" s="26">
        <v>0.0</v>
      </c>
      <c r="Q71" s="26">
        <v>0.0</v>
      </c>
      <c r="R71" s="26">
        <v>0.0</v>
      </c>
      <c r="S71" s="26">
        <v>0.0</v>
      </c>
      <c r="T71" s="26">
        <v>0.0</v>
      </c>
      <c r="U71" s="26">
        <v>0.0</v>
      </c>
      <c r="V71" s="29">
        <v>0.0</v>
      </c>
      <c r="W71" s="29">
        <v>0.0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6.5" customHeight="1">
      <c r="A72" s="30"/>
      <c r="B72" s="34"/>
      <c r="C72" s="29"/>
      <c r="D72" s="29"/>
      <c r="E72" s="29"/>
      <c r="F72" s="29"/>
      <c r="G72" s="51"/>
      <c r="H72" s="51"/>
      <c r="I72" s="51"/>
      <c r="J72" s="51"/>
      <c r="K72" s="51"/>
      <c r="L72" s="51"/>
      <c r="M72" s="51"/>
      <c r="N72" s="51"/>
      <c r="O72" s="53">
        <v>3.0</v>
      </c>
      <c r="P72" s="26"/>
      <c r="Q72" s="26"/>
      <c r="R72" s="26"/>
      <c r="S72" s="26"/>
      <c r="T72" s="26"/>
      <c r="U72" s="26"/>
      <c r="V72" s="29"/>
      <c r="W72" s="29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16.5" customHeight="1">
      <c r="A73" s="30"/>
      <c r="B73" s="34"/>
      <c r="C73" s="26" t="s">
        <v>156</v>
      </c>
      <c r="D73" s="20"/>
      <c r="E73" s="26" t="s">
        <v>44</v>
      </c>
      <c r="F73" s="20"/>
      <c r="G73" s="51">
        <v>2.0</v>
      </c>
      <c r="H73" s="51">
        <v>5.0</v>
      </c>
      <c r="I73" s="51">
        <v>5.0</v>
      </c>
      <c r="J73" s="51">
        <v>5.0</v>
      </c>
      <c r="K73" s="51">
        <v>5.0</v>
      </c>
      <c r="L73" s="51">
        <v>5.0</v>
      </c>
      <c r="M73" s="51">
        <v>5.0</v>
      </c>
      <c r="N73" s="51">
        <v>5.0</v>
      </c>
      <c r="O73" s="52">
        <v>0.0</v>
      </c>
      <c r="P73" s="26">
        <v>0.0</v>
      </c>
      <c r="Q73" s="26">
        <v>0.0</v>
      </c>
      <c r="R73" s="26">
        <v>0.0</v>
      </c>
      <c r="S73" s="26">
        <v>0.0</v>
      </c>
      <c r="T73" s="26">
        <v>0.0</v>
      </c>
      <c r="U73" s="26">
        <v>0.0</v>
      </c>
      <c r="V73" s="29">
        <v>0.0</v>
      </c>
      <c r="W73" s="29">
        <v>0.0</v>
      </c>
      <c r="X73" s="56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5" customHeight="1">
      <c r="A74" s="30"/>
      <c r="B74" s="34"/>
      <c r="C74" s="29"/>
      <c r="D74" s="29"/>
      <c r="E74" s="29"/>
      <c r="F74" s="29"/>
      <c r="G74" s="51"/>
      <c r="H74" s="51"/>
      <c r="I74" s="51"/>
      <c r="J74" s="51"/>
      <c r="K74" s="51"/>
      <c r="L74" s="51"/>
      <c r="M74" s="51"/>
      <c r="N74" s="51"/>
      <c r="O74" s="53">
        <v>3.0</v>
      </c>
      <c r="P74" s="26"/>
      <c r="Q74" s="26"/>
      <c r="R74" s="26"/>
      <c r="S74" s="26"/>
      <c r="T74" s="26"/>
      <c r="U74" s="26"/>
      <c r="V74" s="29"/>
      <c r="W74" s="29"/>
      <c r="X74" s="56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5" customHeight="1">
      <c r="A75" s="30"/>
      <c r="B75" s="34"/>
      <c r="C75" s="26" t="s">
        <v>157</v>
      </c>
      <c r="D75" s="20"/>
      <c r="E75" s="26" t="s">
        <v>45</v>
      </c>
      <c r="F75" s="20"/>
      <c r="G75" s="51">
        <v>1.0</v>
      </c>
      <c r="H75" s="51">
        <v>5.0</v>
      </c>
      <c r="I75" s="51">
        <v>5.0</v>
      </c>
      <c r="J75" s="51">
        <v>5.0</v>
      </c>
      <c r="K75" s="51">
        <v>5.0</v>
      </c>
      <c r="L75" s="51">
        <v>5.0</v>
      </c>
      <c r="M75" s="51">
        <v>5.0</v>
      </c>
      <c r="N75" s="51">
        <v>5.0</v>
      </c>
      <c r="O75" s="52">
        <v>0.0</v>
      </c>
      <c r="P75" s="26">
        <v>0.0</v>
      </c>
      <c r="Q75" s="26">
        <v>0.0</v>
      </c>
      <c r="R75" s="26">
        <v>0.0</v>
      </c>
      <c r="S75" s="26">
        <v>0.0</v>
      </c>
      <c r="T75" s="26">
        <v>0.0</v>
      </c>
      <c r="U75" s="26">
        <v>0.0</v>
      </c>
      <c r="V75" s="29">
        <v>0.0</v>
      </c>
      <c r="W75" s="29">
        <v>0.0</v>
      </c>
      <c r="X75" s="56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5" customHeight="1">
      <c r="A76" s="30"/>
      <c r="B76" s="34"/>
      <c r="C76" s="29"/>
      <c r="D76" s="29"/>
      <c r="E76" s="29"/>
      <c r="F76" s="29"/>
      <c r="G76" s="51"/>
      <c r="H76" s="51"/>
      <c r="I76" s="55"/>
      <c r="J76" s="55"/>
      <c r="K76" s="55"/>
      <c r="L76" s="55"/>
      <c r="M76" s="55"/>
      <c r="N76" s="55"/>
      <c r="O76" s="53">
        <v>4.0</v>
      </c>
      <c r="P76" s="26"/>
      <c r="Q76" s="26"/>
      <c r="R76" s="26"/>
      <c r="S76" s="26"/>
      <c r="T76" s="26"/>
      <c r="U76" s="26"/>
      <c r="V76" s="29"/>
      <c r="W76" s="29"/>
      <c r="X76" s="56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5" customHeight="1">
      <c r="A77" s="30"/>
      <c r="B77" s="34"/>
      <c r="C77" s="26" t="s">
        <v>158</v>
      </c>
      <c r="D77" s="20"/>
      <c r="E77" s="26" t="s">
        <v>44</v>
      </c>
      <c r="F77" s="20"/>
      <c r="G77" s="51">
        <v>2.0</v>
      </c>
      <c r="H77" s="51">
        <v>5.0</v>
      </c>
      <c r="I77" s="51">
        <v>5.0</v>
      </c>
      <c r="J77" s="51">
        <v>5.0</v>
      </c>
      <c r="K77" s="51">
        <v>5.0</v>
      </c>
      <c r="L77" s="51">
        <v>5.0</v>
      </c>
      <c r="M77" s="51">
        <v>5.0</v>
      </c>
      <c r="N77" s="51">
        <v>5.0</v>
      </c>
      <c r="O77" s="51">
        <v>5.0</v>
      </c>
      <c r="P77" s="52">
        <v>0.0</v>
      </c>
      <c r="Q77" s="26">
        <v>0.0</v>
      </c>
      <c r="R77" s="26">
        <v>0.0</v>
      </c>
      <c r="S77" s="26">
        <v>0.0</v>
      </c>
      <c r="T77" s="26">
        <v>0.0</v>
      </c>
      <c r="U77" s="26">
        <v>0.0</v>
      </c>
      <c r="V77" s="29">
        <v>0.0</v>
      </c>
      <c r="W77" s="29">
        <v>0.0</v>
      </c>
      <c r="X77" s="5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5" customHeight="1">
      <c r="A78" s="30"/>
      <c r="B78" s="34"/>
      <c r="C78" s="29"/>
      <c r="D78" s="29"/>
      <c r="E78" s="29"/>
      <c r="F78" s="29"/>
      <c r="G78" s="51"/>
      <c r="H78" s="51"/>
      <c r="I78" s="51"/>
      <c r="J78" s="51"/>
      <c r="K78" s="51"/>
      <c r="L78" s="51"/>
      <c r="M78" s="51"/>
      <c r="N78" s="51"/>
      <c r="O78" s="51"/>
      <c r="P78" s="53">
        <v>3.0</v>
      </c>
      <c r="Q78" s="26"/>
      <c r="R78" s="26"/>
      <c r="S78" s="26"/>
      <c r="T78" s="26"/>
      <c r="U78" s="26"/>
      <c r="V78" s="29"/>
      <c r="W78" s="29"/>
      <c r="X78" s="56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5" customHeight="1">
      <c r="A79" s="30"/>
      <c r="B79" s="34"/>
      <c r="C79" s="26" t="s">
        <v>159</v>
      </c>
      <c r="D79" s="20"/>
      <c r="E79" s="26" t="s">
        <v>44</v>
      </c>
      <c r="F79" s="20"/>
      <c r="G79" s="51">
        <v>2.0</v>
      </c>
      <c r="H79" s="51">
        <v>5.0</v>
      </c>
      <c r="I79" s="51">
        <v>5.0</v>
      </c>
      <c r="J79" s="51">
        <v>5.0</v>
      </c>
      <c r="K79" s="51">
        <v>5.0</v>
      </c>
      <c r="L79" s="51">
        <v>5.0</v>
      </c>
      <c r="M79" s="51">
        <v>5.0</v>
      </c>
      <c r="N79" s="51">
        <v>5.0</v>
      </c>
      <c r="O79" s="51">
        <v>5.0</v>
      </c>
      <c r="P79" s="52">
        <v>0.0</v>
      </c>
      <c r="Q79" s="26">
        <v>0.0</v>
      </c>
      <c r="R79" s="26">
        <v>0.0</v>
      </c>
      <c r="S79" s="26">
        <v>0.0</v>
      </c>
      <c r="T79" s="26">
        <v>0.0</v>
      </c>
      <c r="U79" s="26">
        <v>0.0</v>
      </c>
      <c r="V79" s="29">
        <v>0.0</v>
      </c>
      <c r="W79" s="29">
        <v>0.0</v>
      </c>
      <c r="X79" s="56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5" customHeight="1">
      <c r="A80" s="30"/>
      <c r="B80" s="36"/>
      <c r="C80" s="29"/>
      <c r="D80" s="29"/>
      <c r="E80" s="29"/>
      <c r="F80" s="29"/>
      <c r="G80" s="51"/>
      <c r="H80" s="51"/>
      <c r="I80" s="51"/>
      <c r="J80" s="51"/>
      <c r="K80" s="51"/>
      <c r="L80" s="51"/>
      <c r="M80" s="51"/>
      <c r="N80" s="51"/>
      <c r="O80" s="51"/>
      <c r="P80" s="53">
        <v>3.0</v>
      </c>
      <c r="Q80" s="26"/>
      <c r="R80" s="26"/>
      <c r="S80" s="26"/>
      <c r="T80" s="26"/>
      <c r="U80" s="26"/>
      <c r="V80" s="29"/>
      <c r="W80" s="29"/>
      <c r="X80" s="56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5" customHeight="1">
      <c r="A81" s="30"/>
      <c r="B81" s="41" t="s">
        <v>99</v>
      </c>
      <c r="C81" s="26" t="s">
        <v>160</v>
      </c>
      <c r="D81" s="20"/>
      <c r="E81" s="26" t="s">
        <v>161</v>
      </c>
      <c r="F81" s="20"/>
      <c r="G81" s="51">
        <v>3.0</v>
      </c>
      <c r="H81" s="51">
        <v>3.0</v>
      </c>
      <c r="I81" s="51">
        <v>3.0</v>
      </c>
      <c r="J81" s="51">
        <v>3.0</v>
      </c>
      <c r="K81" s="51">
        <v>3.0</v>
      </c>
      <c r="L81" s="51">
        <v>3.0</v>
      </c>
      <c r="M81" s="51">
        <v>3.0</v>
      </c>
      <c r="N81" s="51">
        <v>3.0</v>
      </c>
      <c r="O81" s="51">
        <v>3.0</v>
      </c>
      <c r="P81" s="52">
        <v>0.0</v>
      </c>
      <c r="Q81" s="26">
        <v>0.0</v>
      </c>
      <c r="R81" s="26">
        <v>0.0</v>
      </c>
      <c r="S81" s="26">
        <v>0.0</v>
      </c>
      <c r="T81" s="26">
        <v>0.0</v>
      </c>
      <c r="U81" s="26">
        <v>0.0</v>
      </c>
      <c r="V81" s="29">
        <v>0.0</v>
      </c>
      <c r="W81" s="29">
        <v>0.0</v>
      </c>
      <c r="X81" s="56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5" customHeight="1">
      <c r="A82" s="30"/>
      <c r="B82" s="34"/>
      <c r="C82" s="26" t="s">
        <v>162</v>
      </c>
      <c r="D82" s="20"/>
      <c r="E82" s="26" t="s">
        <v>161</v>
      </c>
      <c r="F82" s="20"/>
      <c r="G82" s="51">
        <v>3.0</v>
      </c>
      <c r="H82" s="51">
        <v>3.0</v>
      </c>
      <c r="I82" s="51">
        <v>3.0</v>
      </c>
      <c r="J82" s="51">
        <v>3.0</v>
      </c>
      <c r="K82" s="51">
        <v>3.0</v>
      </c>
      <c r="L82" s="51">
        <v>3.0</v>
      </c>
      <c r="M82" s="51">
        <v>3.0</v>
      </c>
      <c r="N82" s="51">
        <v>3.0</v>
      </c>
      <c r="O82" s="51">
        <v>3.0</v>
      </c>
      <c r="P82" s="52">
        <v>0.0</v>
      </c>
      <c r="Q82" s="26">
        <v>0.0</v>
      </c>
      <c r="R82" s="26">
        <v>0.0</v>
      </c>
      <c r="S82" s="26">
        <v>0.0</v>
      </c>
      <c r="T82" s="26">
        <v>0.0</v>
      </c>
      <c r="U82" s="26">
        <v>0.0</v>
      </c>
      <c r="V82" s="29">
        <v>0.0</v>
      </c>
      <c r="W82" s="29">
        <v>0.0</v>
      </c>
      <c r="X82" s="56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5" customHeight="1">
      <c r="A83" s="30"/>
      <c r="B83" s="34"/>
      <c r="C83" s="26" t="s">
        <v>163</v>
      </c>
      <c r="D83" s="20"/>
      <c r="E83" s="26" t="s">
        <v>161</v>
      </c>
      <c r="F83" s="20"/>
      <c r="G83" s="51">
        <v>3.0</v>
      </c>
      <c r="H83" s="51">
        <v>3.0</v>
      </c>
      <c r="I83" s="51">
        <v>3.0</v>
      </c>
      <c r="J83" s="51">
        <v>3.0</v>
      </c>
      <c r="K83" s="51">
        <v>3.0</v>
      </c>
      <c r="L83" s="51">
        <v>3.0</v>
      </c>
      <c r="M83" s="51">
        <v>3.0</v>
      </c>
      <c r="N83" s="51">
        <v>3.0</v>
      </c>
      <c r="O83" s="51">
        <v>3.0</v>
      </c>
      <c r="P83" s="52">
        <v>0.0</v>
      </c>
      <c r="Q83" s="26">
        <v>0.0</v>
      </c>
      <c r="R83" s="26">
        <v>0.0</v>
      </c>
      <c r="S83" s="26">
        <v>0.0</v>
      </c>
      <c r="T83" s="26">
        <v>0.0</v>
      </c>
      <c r="U83" s="26">
        <v>0.0</v>
      </c>
      <c r="V83" s="29">
        <v>0.0</v>
      </c>
      <c r="W83" s="29">
        <v>0.0</v>
      </c>
      <c r="X83" s="56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5" customHeight="1">
      <c r="A84" s="30"/>
      <c r="B84" s="34"/>
      <c r="C84" s="26" t="s">
        <v>164</v>
      </c>
      <c r="D84" s="20"/>
      <c r="E84" s="26" t="s">
        <v>161</v>
      </c>
      <c r="F84" s="20"/>
      <c r="G84" s="51">
        <v>3.0</v>
      </c>
      <c r="H84" s="51">
        <v>3.0</v>
      </c>
      <c r="I84" s="51">
        <v>3.0</v>
      </c>
      <c r="J84" s="51">
        <v>3.0</v>
      </c>
      <c r="K84" s="51">
        <v>3.0</v>
      </c>
      <c r="L84" s="51">
        <v>3.0</v>
      </c>
      <c r="M84" s="51">
        <v>3.0</v>
      </c>
      <c r="N84" s="51">
        <v>3.0</v>
      </c>
      <c r="O84" s="51">
        <v>3.0</v>
      </c>
      <c r="P84" s="52">
        <v>0.0</v>
      </c>
      <c r="Q84" s="26">
        <v>0.0</v>
      </c>
      <c r="R84" s="26">
        <v>0.0</v>
      </c>
      <c r="S84" s="26">
        <v>0.0</v>
      </c>
      <c r="T84" s="26">
        <v>0.0</v>
      </c>
      <c r="U84" s="26">
        <v>0.0</v>
      </c>
      <c r="V84" s="29">
        <v>0.0</v>
      </c>
      <c r="W84" s="29">
        <v>0.0</v>
      </c>
      <c r="X84" s="56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5" customHeight="1">
      <c r="A85" s="30"/>
      <c r="B85" s="36"/>
      <c r="C85" s="26" t="s">
        <v>165</v>
      </c>
      <c r="D85" s="20"/>
      <c r="E85" s="26" t="s">
        <v>161</v>
      </c>
      <c r="F85" s="20"/>
      <c r="G85" s="51">
        <v>3.0</v>
      </c>
      <c r="H85" s="51">
        <v>3.0</v>
      </c>
      <c r="I85" s="51">
        <v>3.0</v>
      </c>
      <c r="J85" s="51">
        <v>3.0</v>
      </c>
      <c r="K85" s="51">
        <v>3.0</v>
      </c>
      <c r="L85" s="51">
        <v>3.0</v>
      </c>
      <c r="M85" s="51">
        <v>3.0</v>
      </c>
      <c r="N85" s="51">
        <v>3.0</v>
      </c>
      <c r="O85" s="51">
        <v>3.0</v>
      </c>
      <c r="P85" s="52">
        <v>0.0</v>
      </c>
      <c r="Q85" s="26">
        <v>0.0</v>
      </c>
      <c r="R85" s="26">
        <v>0.0</v>
      </c>
      <c r="S85" s="26">
        <v>0.0</v>
      </c>
      <c r="T85" s="26">
        <v>0.0</v>
      </c>
      <c r="U85" s="26">
        <v>0.0</v>
      </c>
      <c r="V85" s="29">
        <v>0.0</v>
      </c>
      <c r="W85" s="29">
        <v>0.0</v>
      </c>
      <c r="X85" s="56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6.5" customHeight="1">
      <c r="A86" s="30"/>
      <c r="B86" s="41" t="s">
        <v>113</v>
      </c>
      <c r="C86" s="26" t="s">
        <v>166</v>
      </c>
      <c r="D86" s="20"/>
      <c r="E86" s="26" t="s">
        <v>44</v>
      </c>
      <c r="F86" s="20"/>
      <c r="G86" s="51">
        <v>1.0</v>
      </c>
      <c r="H86" s="51">
        <v>2.0</v>
      </c>
      <c r="I86" s="51">
        <v>2.0</v>
      </c>
      <c r="J86" s="51">
        <v>2.0</v>
      </c>
      <c r="K86" s="51">
        <v>2.0</v>
      </c>
      <c r="L86" s="51">
        <v>2.0</v>
      </c>
      <c r="M86" s="51">
        <v>2.0</v>
      </c>
      <c r="N86" s="51">
        <v>2.0</v>
      </c>
      <c r="O86" s="51">
        <v>2.0</v>
      </c>
      <c r="P86" s="51">
        <v>2.0</v>
      </c>
      <c r="Q86" s="52">
        <v>0.0</v>
      </c>
      <c r="R86" s="26">
        <v>0.0</v>
      </c>
      <c r="S86" s="26">
        <v>0.0</v>
      </c>
      <c r="T86" s="26">
        <v>0.0</v>
      </c>
      <c r="U86" s="26">
        <v>0.0</v>
      </c>
      <c r="V86" s="29">
        <v>0.0</v>
      </c>
      <c r="W86" s="29">
        <v>0.0</v>
      </c>
      <c r="X86" s="56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6.5" customHeight="1">
      <c r="A87" s="30"/>
      <c r="B87" s="34"/>
      <c r="C87" s="26" t="s">
        <v>167</v>
      </c>
      <c r="D87" s="20"/>
      <c r="E87" s="26" t="s">
        <v>27</v>
      </c>
      <c r="F87" s="20"/>
      <c r="G87" s="51">
        <v>1.0</v>
      </c>
      <c r="H87" s="51">
        <v>1.0</v>
      </c>
      <c r="I87" s="51">
        <v>1.0</v>
      </c>
      <c r="J87" s="51">
        <v>1.0</v>
      </c>
      <c r="K87" s="51">
        <v>1.0</v>
      </c>
      <c r="L87" s="51">
        <v>1.0</v>
      </c>
      <c r="M87" s="51">
        <v>1.0</v>
      </c>
      <c r="N87" s="51">
        <v>1.0</v>
      </c>
      <c r="O87" s="51">
        <v>1.0</v>
      </c>
      <c r="P87" s="51">
        <v>1.0</v>
      </c>
      <c r="Q87" s="52">
        <v>0.0</v>
      </c>
      <c r="R87" s="26">
        <v>0.0</v>
      </c>
      <c r="S87" s="26">
        <v>0.0</v>
      </c>
      <c r="T87" s="26">
        <v>0.0</v>
      </c>
      <c r="U87" s="26">
        <v>0.0</v>
      </c>
      <c r="V87" s="29">
        <v>0.0</v>
      </c>
      <c r="W87" s="29">
        <v>0.0</v>
      </c>
      <c r="X87" s="56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6.5" customHeight="1">
      <c r="A88" s="30"/>
      <c r="B88" s="34"/>
      <c r="C88" s="26" t="s">
        <v>168</v>
      </c>
      <c r="D88" s="20"/>
      <c r="E88" s="26" t="s">
        <v>44</v>
      </c>
      <c r="F88" s="20"/>
      <c r="G88" s="51">
        <v>1.0</v>
      </c>
      <c r="H88" s="51">
        <v>2.0</v>
      </c>
      <c r="I88" s="51">
        <v>2.0</v>
      </c>
      <c r="J88" s="51">
        <v>2.0</v>
      </c>
      <c r="K88" s="51">
        <v>2.0</v>
      </c>
      <c r="L88" s="51">
        <v>2.0</v>
      </c>
      <c r="M88" s="51">
        <v>2.0</v>
      </c>
      <c r="N88" s="51">
        <v>2.0</v>
      </c>
      <c r="O88" s="51">
        <v>2.0</v>
      </c>
      <c r="P88" s="51">
        <v>2.0</v>
      </c>
      <c r="Q88" s="52">
        <v>0.0</v>
      </c>
      <c r="R88" s="26">
        <v>0.0</v>
      </c>
      <c r="S88" s="26">
        <v>0.0</v>
      </c>
      <c r="T88" s="26">
        <v>0.0</v>
      </c>
      <c r="U88" s="26">
        <v>0.0</v>
      </c>
      <c r="V88" s="29">
        <v>0.0</v>
      </c>
      <c r="W88" s="29">
        <v>0.0</v>
      </c>
      <c r="X88" s="56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6.5" customHeight="1">
      <c r="A89" s="30"/>
      <c r="B89" s="34"/>
      <c r="C89" s="26" t="s">
        <v>169</v>
      </c>
      <c r="D89" s="20"/>
      <c r="E89" s="26" t="s">
        <v>104</v>
      </c>
      <c r="F89" s="20"/>
      <c r="G89" s="51">
        <v>1.0</v>
      </c>
      <c r="H89" s="51">
        <v>1.0</v>
      </c>
      <c r="I89" s="51">
        <v>1.0</v>
      </c>
      <c r="J89" s="51">
        <v>1.0</v>
      </c>
      <c r="K89" s="51">
        <v>1.0</v>
      </c>
      <c r="L89" s="51">
        <v>1.0</v>
      </c>
      <c r="M89" s="51">
        <v>1.0</v>
      </c>
      <c r="N89" s="51">
        <v>1.0</v>
      </c>
      <c r="O89" s="51">
        <v>1.0</v>
      </c>
      <c r="P89" s="51">
        <v>1.0</v>
      </c>
      <c r="Q89" s="52">
        <v>0.0</v>
      </c>
      <c r="R89" s="26">
        <v>0.0</v>
      </c>
      <c r="S89" s="26">
        <v>0.0</v>
      </c>
      <c r="T89" s="26">
        <v>0.0</v>
      </c>
      <c r="U89" s="26">
        <v>0.0</v>
      </c>
      <c r="V89" s="29">
        <v>0.0</v>
      </c>
      <c r="W89" s="29">
        <v>0.0</v>
      </c>
      <c r="X89" s="56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16.5" customHeight="1">
      <c r="A90" s="30"/>
      <c r="B90" s="36"/>
      <c r="C90" s="26" t="s">
        <v>170</v>
      </c>
      <c r="D90" s="20"/>
      <c r="E90" s="26" t="s">
        <v>46</v>
      </c>
      <c r="F90" s="20"/>
      <c r="G90" s="51">
        <v>1.0</v>
      </c>
      <c r="H90" s="51">
        <v>2.0</v>
      </c>
      <c r="I90" s="51">
        <v>2.0</v>
      </c>
      <c r="J90" s="51">
        <v>2.0</v>
      </c>
      <c r="K90" s="51">
        <v>2.0</v>
      </c>
      <c r="L90" s="51">
        <v>2.0</v>
      </c>
      <c r="M90" s="51">
        <v>2.0</v>
      </c>
      <c r="N90" s="51">
        <v>2.0</v>
      </c>
      <c r="O90" s="51">
        <v>2.0</v>
      </c>
      <c r="P90" s="51">
        <v>2.0</v>
      </c>
      <c r="Q90" s="52">
        <v>0.0</v>
      </c>
      <c r="R90" s="26">
        <v>0.0</v>
      </c>
      <c r="S90" s="26">
        <v>0.0</v>
      </c>
      <c r="T90" s="26">
        <v>0.0</v>
      </c>
      <c r="U90" s="26">
        <v>0.0</v>
      </c>
      <c r="V90" s="29">
        <v>0.0</v>
      </c>
      <c r="W90" s="29">
        <v>0.0</v>
      </c>
      <c r="X90" s="56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5" customHeight="1">
      <c r="A91" s="30"/>
      <c r="B91" s="41" t="s">
        <v>171</v>
      </c>
      <c r="C91" s="26" t="s">
        <v>172</v>
      </c>
      <c r="D91" s="20"/>
      <c r="E91" s="26" t="s">
        <v>25</v>
      </c>
      <c r="F91" s="20"/>
      <c r="G91" s="51">
        <v>4.0</v>
      </c>
      <c r="H91" s="51">
        <v>4.0</v>
      </c>
      <c r="I91" s="51">
        <v>4.0</v>
      </c>
      <c r="J91" s="51">
        <v>4.0</v>
      </c>
      <c r="K91" s="51">
        <v>4.0</v>
      </c>
      <c r="L91" s="51">
        <v>4.0</v>
      </c>
      <c r="M91" s="51">
        <v>4.0</v>
      </c>
      <c r="N91" s="51">
        <v>4.0</v>
      </c>
      <c r="O91" s="51">
        <v>4.0</v>
      </c>
      <c r="P91" s="51">
        <v>4.0</v>
      </c>
      <c r="Q91" s="51">
        <v>4.0</v>
      </c>
      <c r="R91" s="52">
        <v>0.0</v>
      </c>
      <c r="S91" s="26">
        <v>0.0</v>
      </c>
      <c r="T91" s="26">
        <v>0.0</v>
      </c>
      <c r="U91" s="26">
        <v>0.0</v>
      </c>
      <c r="V91" s="29">
        <v>0.0</v>
      </c>
      <c r="W91" s="29">
        <v>0.0</v>
      </c>
      <c r="X91" s="56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5" customHeight="1">
      <c r="A92" s="30"/>
      <c r="B92" s="36"/>
      <c r="C92" s="26" t="s">
        <v>173</v>
      </c>
      <c r="D92" s="20"/>
      <c r="E92" s="26" t="s">
        <v>25</v>
      </c>
      <c r="F92" s="20"/>
      <c r="G92" s="51">
        <v>2.0</v>
      </c>
      <c r="H92" s="51">
        <v>2.0</v>
      </c>
      <c r="I92" s="51">
        <v>2.0</v>
      </c>
      <c r="J92" s="51">
        <v>2.0</v>
      </c>
      <c r="K92" s="51">
        <v>2.0</v>
      </c>
      <c r="L92" s="51">
        <v>2.0</v>
      </c>
      <c r="M92" s="51">
        <v>2.0</v>
      </c>
      <c r="N92" s="51">
        <v>2.0</v>
      </c>
      <c r="O92" s="51">
        <v>2.0</v>
      </c>
      <c r="P92" s="51">
        <v>2.0</v>
      </c>
      <c r="Q92" s="51">
        <v>2.0</v>
      </c>
      <c r="R92" s="52">
        <v>0.0</v>
      </c>
      <c r="S92" s="26">
        <v>0.0</v>
      </c>
      <c r="T92" s="26">
        <v>0.0</v>
      </c>
      <c r="U92" s="26">
        <v>0.0</v>
      </c>
      <c r="V92" s="29">
        <v>0.0</v>
      </c>
      <c r="W92" s="29">
        <v>0.0</v>
      </c>
      <c r="X92" s="56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5" customHeight="1">
      <c r="A93" s="30"/>
      <c r="B93" s="43" t="s">
        <v>19</v>
      </c>
      <c r="C93" s="44"/>
      <c r="D93" s="45"/>
      <c r="E93" s="46" t="s">
        <v>129</v>
      </c>
      <c r="F93" s="20"/>
      <c r="G93" s="57">
        <f>SUM(G16:G92)</f>
        <v>92</v>
      </c>
      <c r="H93" s="49"/>
      <c r="I93" s="29">
        <f>SUM(I16:I92)</f>
        <v>162</v>
      </c>
      <c r="J93" s="29">
        <f>SUM(J16:J92)-J17-J19-J21</f>
        <v>155</v>
      </c>
      <c r="K93" s="29">
        <f>SUM(K16:K92)-K23-K25--K27-K29-K31</f>
        <v>136</v>
      </c>
      <c r="L93" s="29">
        <f>SUM(L16:L92)-L33-L35-L37-L40-L42</f>
        <v>110</v>
      </c>
      <c r="M93" s="29">
        <f>SUM(M16:M92)-M44-M46-M48-M50-M52</f>
        <v>90</v>
      </c>
      <c r="N93" s="29">
        <f>SUM(N16:N92)-N54-N56-N58-N60-N62-N64</f>
        <v>66</v>
      </c>
      <c r="O93" s="29">
        <f>SUM(O16:O92)-O66-O68-O70-O72-O74-O76</f>
        <v>39</v>
      </c>
      <c r="P93" s="29">
        <f>SUM(P16:P92)-P78-P80</f>
        <v>14</v>
      </c>
      <c r="Q93" s="29">
        <f t="shared" ref="Q93:W93" si="2">SUM(Q16:Q92)</f>
        <v>6</v>
      </c>
      <c r="R93" s="29">
        <f t="shared" si="2"/>
        <v>0</v>
      </c>
      <c r="S93" s="29">
        <f t="shared" si="2"/>
        <v>0</v>
      </c>
      <c r="T93" s="29">
        <f t="shared" si="2"/>
        <v>0</v>
      </c>
      <c r="U93" s="29">
        <f t="shared" si="2"/>
        <v>0</v>
      </c>
      <c r="V93" s="29">
        <f t="shared" si="2"/>
        <v>0</v>
      </c>
      <c r="W93" s="29">
        <f t="shared" si="2"/>
        <v>0</v>
      </c>
      <c r="X93" s="56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5" customHeight="1">
      <c r="A94" s="30"/>
      <c r="B94" s="47"/>
      <c r="C94" s="48"/>
      <c r="D94" s="49"/>
      <c r="E94" s="46" t="s">
        <v>130</v>
      </c>
      <c r="F94" s="20"/>
      <c r="G94" s="28">
        <f>SUM(H16:H92)</f>
        <v>162</v>
      </c>
      <c r="H94" s="20"/>
      <c r="I94" s="29">
        <f t="shared" ref="I94:W94" si="3">SUM(I16:I92)</f>
        <v>162</v>
      </c>
      <c r="J94" s="29">
        <f t="shared" si="3"/>
        <v>159</v>
      </c>
      <c r="K94" s="29">
        <f t="shared" si="3"/>
        <v>144</v>
      </c>
      <c r="L94" s="29">
        <f t="shared" si="3"/>
        <v>118</v>
      </c>
      <c r="M94" s="29">
        <f t="shared" si="3"/>
        <v>100</v>
      </c>
      <c r="N94" s="29">
        <f t="shared" si="3"/>
        <v>76</v>
      </c>
      <c r="O94" s="29">
        <f t="shared" si="3"/>
        <v>54</v>
      </c>
      <c r="P94" s="29">
        <f t="shared" si="3"/>
        <v>20</v>
      </c>
      <c r="Q94" s="29">
        <f t="shared" si="3"/>
        <v>6</v>
      </c>
      <c r="R94" s="29">
        <f t="shared" si="3"/>
        <v>0</v>
      </c>
      <c r="S94" s="29">
        <f t="shared" si="3"/>
        <v>0</v>
      </c>
      <c r="T94" s="29">
        <f t="shared" si="3"/>
        <v>0</v>
      </c>
      <c r="U94" s="29">
        <f t="shared" si="3"/>
        <v>0</v>
      </c>
      <c r="V94" s="29">
        <f t="shared" si="3"/>
        <v>0</v>
      </c>
      <c r="W94" s="29">
        <f t="shared" si="3"/>
        <v>0</v>
      </c>
      <c r="X94" s="56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5" customHeight="1">
      <c r="A95" s="58"/>
      <c r="B95" s="5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5" customHeight="1">
      <c r="A96" s="58"/>
      <c r="B96" s="5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5" customHeight="1">
      <c r="A97" s="58"/>
      <c r="B97" s="5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5" customHeight="1">
      <c r="A98" s="58"/>
      <c r="B98" s="5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5" customHeight="1">
      <c r="A99" s="58"/>
      <c r="B99" s="5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5" customHeight="1">
      <c r="A100" s="58"/>
      <c r="B100" s="5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5" customHeight="1">
      <c r="A101" s="58"/>
      <c r="B101" s="5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5" customHeight="1">
      <c r="A102" s="58"/>
      <c r="B102" s="5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6.5" customHeight="1">
      <c r="A103" s="58"/>
      <c r="B103" s="5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6.5" customHeight="1">
      <c r="A104" s="58"/>
      <c r="B104" s="5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6.5" customHeight="1">
      <c r="A105" s="58"/>
      <c r="B105" s="5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6.5" customHeight="1">
      <c r="A106" s="58"/>
      <c r="B106" s="5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6.5" customHeight="1">
      <c r="A107" s="58"/>
      <c r="B107" s="5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6.5" customHeight="1">
      <c r="A108" s="58"/>
      <c r="B108" s="5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6.5" customHeight="1">
      <c r="A109" s="58"/>
      <c r="B109" s="5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6.5" customHeight="1">
      <c r="A110" s="58"/>
      <c r="B110" s="5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6.5" customHeight="1">
      <c r="A111" s="58"/>
      <c r="B111" s="5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6.5" customHeight="1">
      <c r="A112" s="58"/>
      <c r="B112" s="5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6.5" customHeight="1">
      <c r="A113" s="58"/>
      <c r="B113" s="5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6.5" customHeight="1">
      <c r="A114" s="58"/>
      <c r="B114" s="5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ht="16.5" customHeight="1">
      <c r="A115" s="58"/>
      <c r="B115" s="5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16.5" customHeight="1">
      <c r="A116" s="58"/>
      <c r="B116" s="5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ht="16.5" customHeight="1">
      <c r="A117" s="58"/>
      <c r="B117" s="5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16.5" customHeight="1">
      <c r="A118" s="58"/>
      <c r="B118" s="5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6.5" customHeight="1">
      <c r="A119" s="58"/>
      <c r="B119" s="5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16.5" customHeight="1">
      <c r="A120" s="58"/>
      <c r="B120" s="5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ht="16.5" customHeight="1">
      <c r="A121" s="58"/>
      <c r="B121" s="5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6.5" customHeight="1">
      <c r="A122" s="58"/>
      <c r="B122" s="5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ht="16.5" customHeight="1">
      <c r="A123" s="58"/>
      <c r="B123" s="5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ht="16.5" customHeight="1">
      <c r="A124" s="58"/>
      <c r="B124" s="5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ht="16.5" customHeight="1">
      <c r="A125" s="58"/>
      <c r="B125" s="5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ht="16.5" customHeight="1">
      <c r="A126" s="58"/>
      <c r="B126" s="5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ht="16.5" customHeight="1">
      <c r="A127" s="58"/>
      <c r="B127" s="5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ht="16.5" customHeight="1">
      <c r="A128" s="58"/>
      <c r="B128" s="58"/>
      <c r="C128" s="59"/>
      <c r="D128" s="5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ht="16.5" customHeight="1">
      <c r="A129" s="58"/>
      <c r="B129" s="58"/>
      <c r="C129" s="59"/>
      <c r="D129" s="5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ht="16.5" customHeight="1">
      <c r="A130" s="58"/>
      <c r="B130" s="5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ht="16.5" customHeight="1">
      <c r="A131" s="58"/>
      <c r="B131" s="5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ht="16.5" customHeight="1">
      <c r="A132" s="58"/>
      <c r="B132" s="5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ht="16.5" customHeight="1">
      <c r="A133" s="58"/>
      <c r="B133" s="5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ht="16.5" customHeight="1">
      <c r="A134" s="58"/>
      <c r="B134" s="5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ht="16.5" customHeight="1">
      <c r="A135" s="58"/>
      <c r="B135" s="5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ht="16.5" customHeight="1">
      <c r="A136" s="58"/>
      <c r="B136" s="5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ht="16.5" customHeight="1">
      <c r="A137" s="58"/>
      <c r="B137" s="5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ht="16.5" customHeight="1">
      <c r="A138" s="58"/>
      <c r="B138" s="5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ht="16.5" customHeight="1">
      <c r="A139" s="58"/>
      <c r="B139" s="5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ht="16.5" customHeight="1">
      <c r="A140" s="58"/>
      <c r="B140" s="5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6.5" customHeight="1">
      <c r="A141" s="58"/>
      <c r="B141" s="5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ht="16.5" customHeight="1">
      <c r="A142" s="58"/>
      <c r="B142" s="5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ht="16.5" customHeight="1">
      <c r="A143" s="58"/>
      <c r="B143" s="5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6.5" customHeight="1">
      <c r="A144" s="58"/>
      <c r="B144" s="5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ht="16.5" customHeight="1">
      <c r="A145" s="58"/>
      <c r="B145" s="5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ht="16.5" customHeight="1">
      <c r="A146" s="58"/>
      <c r="B146" s="5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ht="16.5" customHeight="1">
      <c r="A147" s="58"/>
      <c r="B147" s="5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ht="16.5" customHeight="1">
      <c r="A148" s="58"/>
      <c r="B148" s="5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ht="16.5" customHeight="1">
      <c r="A149" s="58"/>
      <c r="B149" s="5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16.5" customHeight="1">
      <c r="A150" s="58"/>
      <c r="B150" s="5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ht="16.5" customHeight="1">
      <c r="A151" s="58"/>
      <c r="B151" s="5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6.5" customHeight="1">
      <c r="A152" s="58"/>
      <c r="B152" s="5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ht="16.5" customHeight="1">
      <c r="A153" s="58"/>
      <c r="B153" s="5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ht="16.5" customHeight="1">
      <c r="A154" s="5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ht="16.5" customHeight="1">
      <c r="A155" s="5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ht="16.5" customHeight="1">
      <c r="A156" s="58"/>
      <c r="B156" s="60"/>
      <c r="C156" s="60"/>
      <c r="D156" s="60"/>
      <c r="E156" s="6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ht="16.5" customHeight="1">
      <c r="A157" s="58"/>
      <c r="B157" s="60"/>
      <c r="C157" s="60"/>
      <c r="D157" s="60"/>
      <c r="E157" s="61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</sheetData>
  <mergeCells count="127">
    <mergeCell ref="E36:F36"/>
    <mergeCell ref="E38:F38"/>
    <mergeCell ref="E27:F27"/>
    <mergeCell ref="E28:F28"/>
    <mergeCell ref="E29:F29"/>
    <mergeCell ref="E30:F30"/>
    <mergeCell ref="E31:F31"/>
    <mergeCell ref="E32:F32"/>
    <mergeCell ref="E34:F34"/>
    <mergeCell ref="C49:D49"/>
    <mergeCell ref="C51:D51"/>
    <mergeCell ref="E51:F51"/>
    <mergeCell ref="C43:D43"/>
    <mergeCell ref="E43:F43"/>
    <mergeCell ref="C45:D45"/>
    <mergeCell ref="E45:F45"/>
    <mergeCell ref="C47:D47"/>
    <mergeCell ref="E47:F47"/>
    <mergeCell ref="E49:F49"/>
    <mergeCell ref="C34:D34"/>
    <mergeCell ref="C36:D36"/>
    <mergeCell ref="C38:D38"/>
    <mergeCell ref="C39:D39"/>
    <mergeCell ref="E39:F39"/>
    <mergeCell ref="C41:D41"/>
    <mergeCell ref="E41:F41"/>
    <mergeCell ref="E53:F53"/>
    <mergeCell ref="C53:D53"/>
    <mergeCell ref="C55:D55"/>
    <mergeCell ref="E55:F55"/>
    <mergeCell ref="C57:D57"/>
    <mergeCell ref="E57:F57"/>
    <mergeCell ref="C59:D59"/>
    <mergeCell ref="E59:F59"/>
    <mergeCell ref="C61:D61"/>
    <mergeCell ref="E61:F61"/>
    <mergeCell ref="C63:D63"/>
    <mergeCell ref="E63:F63"/>
    <mergeCell ref="C65:D65"/>
    <mergeCell ref="E65:F65"/>
    <mergeCell ref="E67:F67"/>
    <mergeCell ref="C67:D67"/>
    <mergeCell ref="C69:D69"/>
    <mergeCell ref="E69:F69"/>
    <mergeCell ref="C71:D71"/>
    <mergeCell ref="E71:F71"/>
    <mergeCell ref="C73:D73"/>
    <mergeCell ref="E73:F73"/>
    <mergeCell ref="C81:D81"/>
    <mergeCell ref="C82:D82"/>
    <mergeCell ref="C83:D83"/>
    <mergeCell ref="C75:D75"/>
    <mergeCell ref="E75:F75"/>
    <mergeCell ref="C77:D77"/>
    <mergeCell ref="E77:F77"/>
    <mergeCell ref="C79:D79"/>
    <mergeCell ref="E79:F79"/>
    <mergeCell ref="E81:F81"/>
    <mergeCell ref="C86:D86"/>
    <mergeCell ref="C87:D87"/>
    <mergeCell ref="C88:D88"/>
    <mergeCell ref="E82:F82"/>
    <mergeCell ref="E83:F83"/>
    <mergeCell ref="C84:D84"/>
    <mergeCell ref="E84:F84"/>
    <mergeCell ref="C85:D85"/>
    <mergeCell ref="E85:F85"/>
    <mergeCell ref="E86:F86"/>
    <mergeCell ref="C91:D91"/>
    <mergeCell ref="C92:D92"/>
    <mergeCell ref="G93:H93"/>
    <mergeCell ref="G94:H94"/>
    <mergeCell ref="E87:F87"/>
    <mergeCell ref="E88:F88"/>
    <mergeCell ref="C89:D89"/>
    <mergeCell ref="E89:F89"/>
    <mergeCell ref="C90:D90"/>
    <mergeCell ref="E90:F90"/>
    <mergeCell ref="E91:F91"/>
    <mergeCell ref="E92:F92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B19:D19"/>
    <mergeCell ref="B20:D20"/>
    <mergeCell ref="E20:F20"/>
    <mergeCell ref="B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C27:D27"/>
    <mergeCell ref="C28:D28"/>
    <mergeCell ref="C29:D29"/>
    <mergeCell ref="C30:D30"/>
    <mergeCell ref="C31:D31"/>
    <mergeCell ref="C32:D32"/>
    <mergeCell ref="B86:B90"/>
    <mergeCell ref="B91:B92"/>
    <mergeCell ref="B93:D94"/>
    <mergeCell ref="E93:F93"/>
    <mergeCell ref="E94:F94"/>
    <mergeCell ref="A4:B4"/>
    <mergeCell ref="A16:A94"/>
    <mergeCell ref="B22:B31"/>
    <mergeCell ref="B32:B40"/>
    <mergeCell ref="B41:B69"/>
    <mergeCell ref="B70:B80"/>
    <mergeCell ref="B81:B8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29"/>
    <col customWidth="1" min="3" max="3" width="55.43"/>
    <col customWidth="1" min="4" max="5" width="11.0"/>
    <col customWidth="1" min="6" max="6" width="20.57"/>
    <col customWidth="1" min="7" max="8" width="6.14"/>
    <col customWidth="1" min="9" max="9" width="6.0"/>
    <col customWidth="1" min="10" max="13" width="6.14"/>
    <col customWidth="1" min="14" max="14" width="6.0"/>
    <col customWidth="1" min="15" max="15" width="6.14"/>
    <col customWidth="1" min="16" max="20" width="6.0"/>
    <col customWidth="1" min="21" max="23" width="6.14"/>
    <col customWidth="1" min="24" max="24" width="6.0"/>
    <col customWidth="1" min="25" max="25" width="6.14"/>
    <col customWidth="1" min="26" max="26" width="6.0"/>
    <col customWidth="1" min="27" max="27" width="5.86"/>
    <col customWidth="1" min="28" max="28" width="6.14"/>
    <col customWidth="1" min="29" max="31" width="6.0"/>
    <col customWidth="1" min="32" max="41" width="9.14"/>
  </cols>
  <sheetData>
    <row r="1" ht="16.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6.5" customHeight="1">
      <c r="A2" s="1" t="s">
        <v>3</v>
      </c>
      <c r="B2" s="2"/>
      <c r="C2" s="7" t="s">
        <v>4</v>
      </c>
      <c r="D2" s="4"/>
      <c r="E2" s="8"/>
      <c r="F2" s="9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6.5" customHeight="1">
      <c r="A3" s="1" t="s">
        <v>6</v>
      </c>
      <c r="B3" s="2"/>
      <c r="C3" s="10">
        <v>46101.0</v>
      </c>
      <c r="D3" s="4"/>
      <c r="E3" s="11"/>
      <c r="F3" s="1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7.25" customHeight="1">
      <c r="A4" s="1" t="s">
        <v>8</v>
      </c>
      <c r="B4" s="2"/>
      <c r="C4" s="10">
        <v>46116.0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5" customHeight="1">
      <c r="A6" s="4"/>
      <c r="B6" s="13" t="s">
        <v>9</v>
      </c>
      <c r="C6" s="14"/>
      <c r="D6" s="14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5" customHeight="1">
      <c r="A7" s="4"/>
      <c r="B7" s="15" t="s">
        <v>10</v>
      </c>
      <c r="C7" s="15" t="s">
        <v>11</v>
      </c>
      <c r="D7" s="15" t="s">
        <v>12</v>
      </c>
      <c r="E7" s="15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5" customHeight="1">
      <c r="A8" s="4"/>
      <c r="B8" s="16">
        <v>1.0</v>
      </c>
      <c r="C8" s="7" t="s">
        <v>14</v>
      </c>
      <c r="D8" s="7">
        <f>SUMIF($E$16:$F$123,"Hội",$G$16:$G$123)+SUMIF($E$16:$F$123,"All team",$G$16:$G$123)/5+SUMIF($E$16:$F$123,"Hội, Giang",$G$16:$G$123)/2</f>
        <v>37.5</v>
      </c>
      <c r="E8" s="7">
        <f>SUMIF($E$16:$F$123,"Hội",$H$16:$H$123)+SUMIF($E$16:$F$123,"All team",$H$16:$H$123)/5+SUMIF($E$16:$F$123,"Hội, Giang",$H$16:$H$123)/2</f>
        <v>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5" customHeight="1">
      <c r="A9" s="4"/>
      <c r="B9" s="16">
        <v>2.0</v>
      </c>
      <c r="C9" s="7" t="s">
        <v>15</v>
      </c>
      <c r="D9" s="7">
        <f>SUMIF($E$16:$F$123,"Giang",$G$16:$G$123)+SUMIF($E$16:$F$123,"All team",$G$16:$G$123)/5+SUMIF($E$16:$F$123,"Lĩnh, Giang",$G$16:$G$123)/2+SUMIF($E$16:$F$123,"Hội, Giang",$G$16:$G$123)/2</f>
        <v>34.5</v>
      </c>
      <c r="E9" s="7">
        <f>SUMIF($E$16:$F$123,"Giang",$H$16:$H$123)+SUMIF($E$16:$F$123,"All team",$H$16:$H$123)/5+SUMIF($E$16:$F$123,"Lĩnh, Giang",$H$16:$H$123)/2+SUMIF($E$16:$F$123,"Hội, Giang",$H$16:$H$123)/2</f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5" customHeight="1">
      <c r="A10" s="4"/>
      <c r="B10" s="16">
        <v>3.0</v>
      </c>
      <c r="C10" s="7" t="s">
        <v>16</v>
      </c>
      <c r="D10" s="7">
        <f>SUMIF($E$16:$F$123,"Nhi",$G$16:$G$123)+SUMIF($E$16:$F$123,"All team",$G$16:$G$123)/5</f>
        <v>18</v>
      </c>
      <c r="E10" s="7">
        <f>SUMIF($E$16:$F$123,"Nhi",$H$16:$H$123)+SUMIF($E$16:$F$123,"All team",$H$16:$H$123)/5</f>
        <v>19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5" customHeight="1">
      <c r="A11" s="4"/>
      <c r="B11" s="16">
        <v>4.0</v>
      </c>
      <c r="C11" s="7" t="s">
        <v>17</v>
      </c>
      <c r="D11" s="7">
        <f>SUMIF($E$16:$F$123,"Khang",$G$16:$G$123)+SUMIF($E$16:$F$123,"All team",$G$16:$G$123)/5+SUMIF($E$16:$F$123,"Khang, Lĩnh",$G$16:$G$123)/2</f>
        <v>29</v>
      </c>
      <c r="E11" s="7">
        <f>SUMIF($E$16:$F$123,"Khang",$H$16:$H$123)+SUMIF($E$16:$F$123,"All team",$H$16:$H$123)/5+SUMIF($E$16:$F$123,"Khang, Lĩnh",$H$16:$H$123)/2</f>
        <v>26.5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5" customHeight="1">
      <c r="A12" s="4"/>
      <c r="B12" s="16">
        <v>5.0</v>
      </c>
      <c r="C12" s="7" t="s">
        <v>18</v>
      </c>
      <c r="D12" s="7">
        <f>SUMIF($E$16:$F$123,"Lĩnh",$G$16:$G$123)+SUMIF($E$16:$F$123,"All team",$G$16:$G$123)/5+SUMIF($E$16:$F$123,"Lĩnh, Giang",$G$16:$G$123)/2+SUMIF($E$16:$F$123,"Khang, Lĩnh",$G$16:$G$123)/2</f>
        <v>30</v>
      </c>
      <c r="E12" s="7">
        <f>SUMIF($E$16:$F$123,"Lĩnh",$H$16:$H$123)+SUMIF($E$16:$F$123,"All team",$H$16:$H$123)/5+SUMIF($E$16:$F$123,"Lĩnh, Giang",$H$16:$H$123)/2+SUMIF($E$16:$F$123,"Khang, Lĩnh",$H$16:$H$123)/2</f>
        <v>26.5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5" customHeight="1">
      <c r="A13" s="4"/>
      <c r="B13" s="13" t="s">
        <v>19</v>
      </c>
      <c r="C13" s="2"/>
      <c r="D13" s="17">
        <f t="shared" ref="D13:E13" si="1">SUM(D8:D12)</f>
        <v>149</v>
      </c>
      <c r="E13" s="17">
        <f t="shared" si="1"/>
        <v>150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62.25" customHeight="1">
      <c r="A15" s="18" t="s">
        <v>20</v>
      </c>
      <c r="B15" s="18" t="s">
        <v>21</v>
      </c>
      <c r="C15" s="19" t="s">
        <v>22</v>
      </c>
      <c r="D15" s="20"/>
      <c r="E15" s="21" t="s">
        <v>23</v>
      </c>
      <c r="F15" s="20"/>
      <c r="G15" s="22" t="s">
        <v>12</v>
      </c>
      <c r="H15" s="22" t="s">
        <v>13</v>
      </c>
      <c r="I15" s="23">
        <v>46101.0</v>
      </c>
      <c r="J15" s="23">
        <v>46102.0</v>
      </c>
      <c r="K15" s="23">
        <v>46103.0</v>
      </c>
      <c r="L15" s="23">
        <v>46104.0</v>
      </c>
      <c r="M15" s="23">
        <v>46105.0</v>
      </c>
      <c r="N15" s="23">
        <v>46106.0</v>
      </c>
      <c r="O15" s="23">
        <v>46107.0</v>
      </c>
      <c r="P15" s="23">
        <v>46108.0</v>
      </c>
      <c r="Q15" s="23">
        <v>46109.0</v>
      </c>
      <c r="R15" s="23">
        <v>46110.0</v>
      </c>
      <c r="S15" s="23">
        <v>46111.0</v>
      </c>
      <c r="T15" s="23">
        <v>46112.0</v>
      </c>
      <c r="U15" s="23">
        <v>46113.0</v>
      </c>
      <c r="V15" s="23">
        <v>46114.0</v>
      </c>
      <c r="W15" s="23">
        <v>46115.0</v>
      </c>
      <c r="X15" s="23">
        <v>46116.0</v>
      </c>
      <c r="Y15" s="24"/>
      <c r="Z15" s="24"/>
      <c r="AA15" s="24"/>
      <c r="AB15" s="24"/>
      <c r="AC15" s="24"/>
      <c r="AD15" s="24"/>
      <c r="AE15" s="24"/>
      <c r="AF15" s="24"/>
      <c r="AG15" s="4"/>
      <c r="AH15" s="4"/>
      <c r="AI15" s="4"/>
      <c r="AJ15" s="4"/>
      <c r="AK15" s="4"/>
      <c r="AL15" s="4"/>
      <c r="AM15" s="4"/>
      <c r="AN15" s="4"/>
      <c r="AO15" s="4"/>
    </row>
    <row r="16" ht="16.5" customHeight="1">
      <c r="A16" s="25" t="s">
        <v>4</v>
      </c>
      <c r="B16" s="26" t="s">
        <v>24</v>
      </c>
      <c r="C16" s="27"/>
      <c r="D16" s="20"/>
      <c r="E16" s="28" t="s">
        <v>25</v>
      </c>
      <c r="F16" s="20"/>
      <c r="G16" s="29">
        <v>1.0</v>
      </c>
      <c r="H16" s="29">
        <v>1.0</v>
      </c>
      <c r="I16" s="29">
        <v>1.0</v>
      </c>
      <c r="J16" s="5">
        <v>0.0</v>
      </c>
      <c r="K16" s="29">
        <v>0.0</v>
      </c>
      <c r="L16" s="29">
        <v>0.0</v>
      </c>
      <c r="M16" s="29">
        <v>0.0</v>
      </c>
      <c r="N16" s="29">
        <v>0.0</v>
      </c>
      <c r="O16" s="29">
        <v>0.0</v>
      </c>
      <c r="P16" s="29">
        <v>0.0</v>
      </c>
      <c r="Q16" s="29">
        <v>0.0</v>
      </c>
      <c r="R16" s="29">
        <v>0.0</v>
      </c>
      <c r="S16" s="29">
        <v>0.0</v>
      </c>
      <c r="T16" s="29">
        <v>0.0</v>
      </c>
      <c r="U16" s="29">
        <v>0.0</v>
      </c>
      <c r="V16" s="29">
        <v>0.0</v>
      </c>
      <c r="W16" s="29">
        <v>0.0</v>
      </c>
      <c r="X16" s="29">
        <v>0.0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5" customHeight="1">
      <c r="A17" s="30"/>
      <c r="B17" s="26" t="s">
        <v>26</v>
      </c>
      <c r="C17" s="27"/>
      <c r="D17" s="20"/>
      <c r="E17" s="26" t="s">
        <v>27</v>
      </c>
      <c r="F17" s="20"/>
      <c r="G17" s="29">
        <v>2.0</v>
      </c>
      <c r="H17" s="29">
        <v>2.0</v>
      </c>
      <c r="I17" s="29">
        <v>2.0</v>
      </c>
      <c r="J17" s="5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29">
        <v>0.0</v>
      </c>
      <c r="Q17" s="29">
        <v>0.0</v>
      </c>
      <c r="R17" s="29">
        <v>0.0</v>
      </c>
      <c r="S17" s="29">
        <v>0.0</v>
      </c>
      <c r="T17" s="29">
        <v>0.0</v>
      </c>
      <c r="U17" s="29">
        <v>0.0</v>
      </c>
      <c r="V17" s="29">
        <v>0.0</v>
      </c>
      <c r="W17" s="29">
        <v>0.0</v>
      </c>
      <c r="X17" s="29">
        <v>0.0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6.5" customHeight="1">
      <c r="A18" s="30"/>
      <c r="B18" s="26" t="s">
        <v>28</v>
      </c>
      <c r="C18" s="27"/>
      <c r="D18" s="20"/>
      <c r="E18" s="26" t="s">
        <v>27</v>
      </c>
      <c r="F18" s="20"/>
      <c r="G18" s="29">
        <v>1.0</v>
      </c>
      <c r="H18" s="29">
        <v>4.0</v>
      </c>
      <c r="I18" s="29">
        <v>4.0</v>
      </c>
      <c r="J18" s="5">
        <v>0.0</v>
      </c>
      <c r="K18" s="29">
        <v>0.0</v>
      </c>
      <c r="L18" s="29">
        <v>0.0</v>
      </c>
      <c r="M18" s="29">
        <v>0.0</v>
      </c>
      <c r="N18" s="29">
        <v>0.0</v>
      </c>
      <c r="O18" s="29">
        <v>0.0</v>
      </c>
      <c r="P18" s="29">
        <v>0.0</v>
      </c>
      <c r="Q18" s="29">
        <v>0.0</v>
      </c>
      <c r="R18" s="29">
        <v>0.0</v>
      </c>
      <c r="S18" s="29">
        <v>0.0</v>
      </c>
      <c r="T18" s="29">
        <v>0.0</v>
      </c>
      <c r="U18" s="29">
        <v>0.0</v>
      </c>
      <c r="V18" s="29">
        <v>0.0</v>
      </c>
      <c r="W18" s="29">
        <v>0.0</v>
      </c>
      <c r="X18" s="29">
        <v>0.0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6.5" customHeight="1">
      <c r="A19" s="30"/>
      <c r="B19" s="29"/>
      <c r="C19" s="28"/>
      <c r="D19" s="20"/>
      <c r="E19" s="28"/>
      <c r="F19" s="20"/>
      <c r="G19" s="29"/>
      <c r="H19" s="29"/>
      <c r="I19" s="29"/>
      <c r="J19" s="31">
        <v>3.0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6.5" customHeight="1">
      <c r="A20" s="30"/>
      <c r="B20" s="32" t="s">
        <v>29</v>
      </c>
      <c r="C20" s="26" t="s">
        <v>30</v>
      </c>
      <c r="D20" s="20"/>
      <c r="E20" s="26" t="s">
        <v>31</v>
      </c>
      <c r="F20" s="20"/>
      <c r="G20" s="29">
        <v>1.0</v>
      </c>
      <c r="H20" s="29">
        <v>1.0</v>
      </c>
      <c r="I20" s="29">
        <v>1.0</v>
      </c>
      <c r="J20" s="33">
        <v>0.0</v>
      </c>
      <c r="K20" s="29">
        <v>0.0</v>
      </c>
      <c r="L20" s="29">
        <v>0.0</v>
      </c>
      <c r="M20" s="29">
        <v>0.0</v>
      </c>
      <c r="N20" s="29">
        <v>0.0</v>
      </c>
      <c r="O20" s="29">
        <v>0.0</v>
      </c>
      <c r="P20" s="29">
        <v>0.0</v>
      </c>
      <c r="Q20" s="29">
        <v>0.0</v>
      </c>
      <c r="R20" s="29">
        <v>0.0</v>
      </c>
      <c r="S20" s="29">
        <v>0.0</v>
      </c>
      <c r="T20" s="29">
        <v>0.0</v>
      </c>
      <c r="U20" s="29">
        <v>0.0</v>
      </c>
      <c r="V20" s="29">
        <v>0.0</v>
      </c>
      <c r="W20" s="29">
        <v>0.0</v>
      </c>
      <c r="X20" s="29">
        <v>0.0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6.5" customHeight="1">
      <c r="A21" s="30"/>
      <c r="B21" s="34"/>
      <c r="C21" s="26" t="s">
        <v>32</v>
      </c>
      <c r="D21" s="20"/>
      <c r="E21" s="26" t="s">
        <v>31</v>
      </c>
      <c r="F21" s="20"/>
      <c r="G21" s="29">
        <v>1.0</v>
      </c>
      <c r="H21" s="29">
        <v>1.0</v>
      </c>
      <c r="I21" s="29">
        <v>1.0</v>
      </c>
      <c r="J21" s="33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>
        <v>0.0</v>
      </c>
      <c r="Q21" s="29">
        <v>0.0</v>
      </c>
      <c r="R21" s="29">
        <v>0.0</v>
      </c>
      <c r="S21" s="29">
        <v>0.0</v>
      </c>
      <c r="T21" s="29">
        <v>0.0</v>
      </c>
      <c r="U21" s="29">
        <v>0.0</v>
      </c>
      <c r="V21" s="29">
        <v>0.0</v>
      </c>
      <c r="W21" s="29">
        <v>0.0</v>
      </c>
      <c r="X21" s="29">
        <v>0.0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16.5" customHeight="1">
      <c r="A22" s="30"/>
      <c r="B22" s="34"/>
      <c r="C22" s="26" t="s">
        <v>33</v>
      </c>
      <c r="D22" s="20"/>
      <c r="E22" s="26" t="s">
        <v>31</v>
      </c>
      <c r="F22" s="20"/>
      <c r="G22" s="29">
        <v>2.0</v>
      </c>
      <c r="H22" s="29">
        <v>2.0</v>
      </c>
      <c r="I22" s="29">
        <v>2.0</v>
      </c>
      <c r="J22" s="33">
        <v>0.0</v>
      </c>
      <c r="K22" s="29">
        <v>0.0</v>
      </c>
      <c r="L22" s="29">
        <v>0.0</v>
      </c>
      <c r="M22" s="29">
        <v>0.0</v>
      </c>
      <c r="N22" s="29">
        <v>0.0</v>
      </c>
      <c r="O22" s="29">
        <v>0.0</v>
      </c>
      <c r="P22" s="29">
        <v>0.0</v>
      </c>
      <c r="Q22" s="29">
        <v>0.0</v>
      </c>
      <c r="R22" s="29">
        <v>0.0</v>
      </c>
      <c r="S22" s="29">
        <v>0.0</v>
      </c>
      <c r="T22" s="29">
        <v>0.0</v>
      </c>
      <c r="U22" s="29">
        <v>0.0</v>
      </c>
      <c r="V22" s="29">
        <v>0.0</v>
      </c>
      <c r="W22" s="29">
        <v>0.0</v>
      </c>
      <c r="X22" s="29">
        <v>0.0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5" customHeight="1">
      <c r="A23" s="30"/>
      <c r="B23" s="34"/>
      <c r="C23" s="26" t="s">
        <v>34</v>
      </c>
      <c r="D23" s="20"/>
      <c r="E23" s="26" t="s">
        <v>31</v>
      </c>
      <c r="F23" s="20"/>
      <c r="G23" s="29">
        <v>2.0</v>
      </c>
      <c r="H23" s="29">
        <v>2.0</v>
      </c>
      <c r="I23" s="29">
        <v>2.0</v>
      </c>
      <c r="J23" s="29">
        <v>2.0</v>
      </c>
      <c r="K23" s="33">
        <v>0.0</v>
      </c>
      <c r="L23" s="29">
        <v>0.0</v>
      </c>
      <c r="M23" s="29">
        <v>0.0</v>
      </c>
      <c r="N23" s="29">
        <v>0.0</v>
      </c>
      <c r="O23" s="29">
        <v>0.0</v>
      </c>
      <c r="P23" s="29">
        <v>0.0</v>
      </c>
      <c r="Q23" s="29">
        <v>0.0</v>
      </c>
      <c r="R23" s="29">
        <v>0.0</v>
      </c>
      <c r="S23" s="29">
        <v>0.0</v>
      </c>
      <c r="T23" s="29">
        <v>0.0</v>
      </c>
      <c r="U23" s="29">
        <v>0.0</v>
      </c>
      <c r="V23" s="29">
        <v>0.0</v>
      </c>
      <c r="W23" s="29">
        <v>0.0</v>
      </c>
      <c r="X23" s="29">
        <v>0.0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5" customHeight="1">
      <c r="A24" s="30"/>
      <c r="B24" s="34"/>
      <c r="C24" s="26" t="s">
        <v>35</v>
      </c>
      <c r="D24" s="20"/>
      <c r="E24" s="26" t="s">
        <v>31</v>
      </c>
      <c r="F24" s="20"/>
      <c r="G24" s="29">
        <v>2.0</v>
      </c>
      <c r="H24" s="29">
        <v>2.0</v>
      </c>
      <c r="I24" s="29">
        <v>2.0</v>
      </c>
      <c r="J24" s="29">
        <v>2.0</v>
      </c>
      <c r="K24" s="33">
        <v>0.0</v>
      </c>
      <c r="L24" s="29">
        <v>0.0</v>
      </c>
      <c r="M24" s="29">
        <v>0.0</v>
      </c>
      <c r="N24" s="29">
        <v>0.0</v>
      </c>
      <c r="O24" s="29">
        <v>0.0</v>
      </c>
      <c r="P24" s="29">
        <v>0.0</v>
      </c>
      <c r="Q24" s="29">
        <v>0.0</v>
      </c>
      <c r="R24" s="29">
        <v>0.0</v>
      </c>
      <c r="S24" s="29">
        <v>0.0</v>
      </c>
      <c r="T24" s="29">
        <v>0.0</v>
      </c>
      <c r="U24" s="29">
        <v>0.0</v>
      </c>
      <c r="V24" s="29">
        <v>0.0</v>
      </c>
      <c r="W24" s="29">
        <v>0.0</v>
      </c>
      <c r="X24" s="29">
        <v>0.0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5" customHeight="1">
      <c r="A25" s="30"/>
      <c r="B25" s="34"/>
      <c r="C25" s="26" t="s">
        <v>36</v>
      </c>
      <c r="D25" s="20"/>
      <c r="E25" s="26" t="s">
        <v>31</v>
      </c>
      <c r="F25" s="20"/>
      <c r="G25" s="29">
        <v>2.0</v>
      </c>
      <c r="H25" s="29">
        <v>2.0</v>
      </c>
      <c r="I25" s="29">
        <v>2.0</v>
      </c>
      <c r="J25" s="29">
        <v>2.0</v>
      </c>
      <c r="K25" s="33">
        <v>0.0</v>
      </c>
      <c r="L25" s="29">
        <v>0.0</v>
      </c>
      <c r="M25" s="29">
        <v>0.0</v>
      </c>
      <c r="N25" s="29">
        <v>0.0</v>
      </c>
      <c r="O25" s="29">
        <v>0.0</v>
      </c>
      <c r="P25" s="29">
        <v>0.0</v>
      </c>
      <c r="Q25" s="29">
        <v>0.0</v>
      </c>
      <c r="R25" s="29">
        <v>0.0</v>
      </c>
      <c r="S25" s="29">
        <v>0.0</v>
      </c>
      <c r="T25" s="29">
        <v>0.0</v>
      </c>
      <c r="U25" s="29">
        <v>0.0</v>
      </c>
      <c r="V25" s="29">
        <v>0.0</v>
      </c>
      <c r="W25" s="29">
        <v>0.0</v>
      </c>
      <c r="X25" s="29">
        <v>0.0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5" customHeight="1">
      <c r="A26" s="30"/>
      <c r="B26" s="34"/>
      <c r="C26" s="26" t="s">
        <v>37</v>
      </c>
      <c r="D26" s="20"/>
      <c r="E26" s="26" t="s">
        <v>31</v>
      </c>
      <c r="F26" s="20"/>
      <c r="G26" s="29">
        <v>2.0</v>
      </c>
      <c r="H26" s="29">
        <v>2.0</v>
      </c>
      <c r="I26" s="29">
        <v>2.0</v>
      </c>
      <c r="J26" s="29">
        <v>2.0</v>
      </c>
      <c r="K26" s="33">
        <v>0.0</v>
      </c>
      <c r="L26" s="29">
        <v>0.0</v>
      </c>
      <c r="M26" s="29">
        <v>0.0</v>
      </c>
      <c r="N26" s="29">
        <v>0.0</v>
      </c>
      <c r="O26" s="29">
        <v>0.0</v>
      </c>
      <c r="P26" s="29">
        <v>0.0</v>
      </c>
      <c r="Q26" s="29">
        <v>0.0</v>
      </c>
      <c r="R26" s="29">
        <v>0.0</v>
      </c>
      <c r="S26" s="29">
        <v>0.0</v>
      </c>
      <c r="T26" s="29">
        <v>0.0</v>
      </c>
      <c r="U26" s="29">
        <v>0.0</v>
      </c>
      <c r="V26" s="29">
        <v>0.0</v>
      </c>
      <c r="W26" s="29">
        <v>0.0</v>
      </c>
      <c r="X26" s="29">
        <v>0.0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5" customHeight="1">
      <c r="A27" s="30"/>
      <c r="B27" s="34"/>
      <c r="C27" s="26" t="s">
        <v>38</v>
      </c>
      <c r="D27" s="20"/>
      <c r="E27" s="26" t="s">
        <v>31</v>
      </c>
      <c r="F27" s="20"/>
      <c r="G27" s="29">
        <v>2.0</v>
      </c>
      <c r="H27" s="29">
        <v>2.0</v>
      </c>
      <c r="I27" s="29">
        <v>2.0</v>
      </c>
      <c r="J27" s="29">
        <v>2.0</v>
      </c>
      <c r="K27" s="29">
        <v>2.0</v>
      </c>
      <c r="L27" s="33">
        <v>0.0</v>
      </c>
      <c r="M27" s="29">
        <v>0.0</v>
      </c>
      <c r="N27" s="29">
        <v>0.0</v>
      </c>
      <c r="O27" s="29">
        <v>0.0</v>
      </c>
      <c r="P27" s="29">
        <v>0.0</v>
      </c>
      <c r="Q27" s="29">
        <v>0.0</v>
      </c>
      <c r="R27" s="29">
        <v>0.0</v>
      </c>
      <c r="S27" s="29">
        <v>0.0</v>
      </c>
      <c r="T27" s="29">
        <v>0.0</v>
      </c>
      <c r="U27" s="29">
        <v>0.0</v>
      </c>
      <c r="V27" s="29">
        <v>0.0</v>
      </c>
      <c r="W27" s="29">
        <v>0.0</v>
      </c>
      <c r="X27" s="29">
        <v>0.0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5" customHeight="1">
      <c r="A28" s="30"/>
      <c r="B28" s="34"/>
      <c r="C28" s="26" t="s">
        <v>39</v>
      </c>
      <c r="D28" s="20"/>
      <c r="E28" s="26" t="s">
        <v>31</v>
      </c>
      <c r="F28" s="20"/>
      <c r="G28" s="29">
        <v>1.0</v>
      </c>
      <c r="H28" s="29">
        <v>1.0</v>
      </c>
      <c r="I28" s="29">
        <v>1.0</v>
      </c>
      <c r="J28" s="29">
        <v>1.0</v>
      </c>
      <c r="K28" s="29">
        <v>1.0</v>
      </c>
      <c r="L28" s="33">
        <v>0.0</v>
      </c>
      <c r="M28" s="29">
        <v>0.0</v>
      </c>
      <c r="N28" s="29">
        <v>0.0</v>
      </c>
      <c r="O28" s="29">
        <v>0.0</v>
      </c>
      <c r="P28" s="29">
        <v>0.0</v>
      </c>
      <c r="Q28" s="29">
        <v>0.0</v>
      </c>
      <c r="R28" s="29">
        <v>0.0</v>
      </c>
      <c r="S28" s="29">
        <v>0.0</v>
      </c>
      <c r="T28" s="29">
        <v>0.0</v>
      </c>
      <c r="U28" s="29">
        <v>0.0</v>
      </c>
      <c r="V28" s="29">
        <v>0.0</v>
      </c>
      <c r="W28" s="29">
        <v>0.0</v>
      </c>
      <c r="X28" s="29">
        <v>0.0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5" customHeight="1">
      <c r="A29" s="30"/>
      <c r="B29" s="34"/>
      <c r="C29" s="26" t="s">
        <v>40</v>
      </c>
      <c r="D29" s="20"/>
      <c r="E29" s="26" t="s">
        <v>31</v>
      </c>
      <c r="F29" s="20"/>
      <c r="G29" s="29">
        <v>1.0</v>
      </c>
      <c r="H29" s="29">
        <v>1.0</v>
      </c>
      <c r="I29" s="29">
        <v>1.0</v>
      </c>
      <c r="J29" s="29">
        <v>1.0</v>
      </c>
      <c r="K29" s="29">
        <v>1.0</v>
      </c>
      <c r="L29" s="33">
        <v>0.0</v>
      </c>
      <c r="M29" s="29">
        <v>0.0</v>
      </c>
      <c r="N29" s="29">
        <v>0.0</v>
      </c>
      <c r="O29" s="29">
        <v>0.0</v>
      </c>
      <c r="P29" s="29">
        <v>0.0</v>
      </c>
      <c r="Q29" s="29">
        <v>0.0</v>
      </c>
      <c r="R29" s="29">
        <v>0.0</v>
      </c>
      <c r="S29" s="29">
        <v>0.0</v>
      </c>
      <c r="T29" s="29">
        <v>0.0</v>
      </c>
      <c r="U29" s="29">
        <v>0.0</v>
      </c>
      <c r="V29" s="29">
        <v>0.0</v>
      </c>
      <c r="W29" s="29">
        <v>0.0</v>
      </c>
      <c r="X29" s="29">
        <v>0.0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5" customHeight="1">
      <c r="A30" s="30"/>
      <c r="B30" s="34"/>
      <c r="C30" s="26" t="s">
        <v>41</v>
      </c>
      <c r="D30" s="20"/>
      <c r="E30" s="26" t="s">
        <v>31</v>
      </c>
      <c r="F30" s="20"/>
      <c r="G30" s="29">
        <v>4.0</v>
      </c>
      <c r="H30" s="29">
        <v>2.0</v>
      </c>
      <c r="I30" s="29">
        <v>2.0</v>
      </c>
      <c r="J30" s="29">
        <v>2.0</v>
      </c>
      <c r="K30" s="29">
        <v>2.0</v>
      </c>
      <c r="L30" s="33">
        <v>0.0</v>
      </c>
      <c r="M30" s="29">
        <v>0.0</v>
      </c>
      <c r="N30" s="29">
        <v>0.0</v>
      </c>
      <c r="O30" s="29">
        <v>0.0</v>
      </c>
      <c r="P30" s="29">
        <v>0.0</v>
      </c>
      <c r="Q30" s="29">
        <v>0.0</v>
      </c>
      <c r="R30" s="29">
        <v>0.0</v>
      </c>
      <c r="S30" s="29">
        <v>0.0</v>
      </c>
      <c r="T30" s="29">
        <v>0.0</v>
      </c>
      <c r="U30" s="29">
        <v>0.0</v>
      </c>
      <c r="V30" s="29">
        <v>0.0</v>
      </c>
      <c r="W30" s="29">
        <v>0.0</v>
      </c>
      <c r="X30" s="29">
        <v>0.0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5" customHeight="1">
      <c r="A31" s="30"/>
      <c r="B31" s="34"/>
      <c r="C31" s="28"/>
      <c r="D31" s="20"/>
      <c r="E31" s="28"/>
      <c r="F31" s="20"/>
      <c r="G31" s="29"/>
      <c r="H31" s="29"/>
      <c r="I31" s="29"/>
      <c r="J31" s="29"/>
      <c r="K31" s="29"/>
      <c r="L31" s="35">
        <v>2.0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5" customHeight="1">
      <c r="A32" s="30"/>
      <c r="B32" s="36"/>
      <c r="C32" s="26" t="s">
        <v>42</v>
      </c>
      <c r="D32" s="20"/>
      <c r="E32" s="26" t="s">
        <v>31</v>
      </c>
      <c r="F32" s="20"/>
      <c r="G32" s="29">
        <v>2.0</v>
      </c>
      <c r="H32" s="29">
        <v>2.0</v>
      </c>
      <c r="I32" s="29">
        <v>2.0</v>
      </c>
      <c r="J32" s="29">
        <v>2.0</v>
      </c>
      <c r="K32" s="29">
        <v>2.0</v>
      </c>
      <c r="L32" s="29">
        <v>2.0</v>
      </c>
      <c r="M32" s="33">
        <v>0.0</v>
      </c>
      <c r="N32" s="29">
        <v>0.0</v>
      </c>
      <c r="O32" s="29">
        <v>0.0</v>
      </c>
      <c r="P32" s="29">
        <v>0.0</v>
      </c>
      <c r="Q32" s="29">
        <v>0.0</v>
      </c>
      <c r="R32" s="29">
        <v>0.0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>
        <v>0.0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5" customHeight="1">
      <c r="A33" s="30"/>
      <c r="B33" s="32" t="s">
        <v>43</v>
      </c>
      <c r="C33" s="26" t="s">
        <v>30</v>
      </c>
      <c r="D33" s="20"/>
      <c r="E33" s="26" t="s">
        <v>27</v>
      </c>
      <c r="F33" s="20"/>
      <c r="G33" s="29">
        <v>1.0</v>
      </c>
      <c r="H33" s="29">
        <v>1.0</v>
      </c>
      <c r="I33" s="29">
        <v>1.0</v>
      </c>
      <c r="J33" s="29">
        <v>1.0</v>
      </c>
      <c r="K33" s="29">
        <v>1.0</v>
      </c>
      <c r="L33" s="29">
        <v>1.0</v>
      </c>
      <c r="M33" s="33">
        <v>0.0</v>
      </c>
      <c r="N33" s="29">
        <v>0.0</v>
      </c>
      <c r="O33" s="29">
        <v>0.0</v>
      </c>
      <c r="P33" s="29">
        <v>0.0</v>
      </c>
      <c r="Q33" s="29">
        <v>0.0</v>
      </c>
      <c r="R33" s="29">
        <v>0.0</v>
      </c>
      <c r="S33" s="29">
        <v>0.0</v>
      </c>
      <c r="T33" s="29">
        <v>0.0</v>
      </c>
      <c r="U33" s="29">
        <v>0.0</v>
      </c>
      <c r="V33" s="29">
        <v>0.0</v>
      </c>
      <c r="W33" s="29">
        <v>0.0</v>
      </c>
      <c r="X33" s="29">
        <v>0.0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5" customHeight="1">
      <c r="A34" s="30"/>
      <c r="B34" s="34"/>
      <c r="C34" s="26" t="s">
        <v>32</v>
      </c>
      <c r="D34" s="20"/>
      <c r="E34" s="26" t="s">
        <v>27</v>
      </c>
      <c r="F34" s="20"/>
      <c r="G34" s="29">
        <v>1.0</v>
      </c>
      <c r="H34" s="29">
        <v>1.0</v>
      </c>
      <c r="I34" s="29">
        <v>1.0</v>
      </c>
      <c r="J34" s="29">
        <v>1.0</v>
      </c>
      <c r="K34" s="29">
        <v>1.0</v>
      </c>
      <c r="L34" s="29">
        <v>1.0</v>
      </c>
      <c r="M34" s="33">
        <v>0.0</v>
      </c>
      <c r="N34" s="29">
        <v>0.0</v>
      </c>
      <c r="O34" s="29">
        <v>0.0</v>
      </c>
      <c r="P34" s="29">
        <v>0.0</v>
      </c>
      <c r="Q34" s="29">
        <v>0.0</v>
      </c>
      <c r="R34" s="29">
        <v>0.0</v>
      </c>
      <c r="S34" s="29">
        <v>0.0</v>
      </c>
      <c r="T34" s="29">
        <v>0.0</v>
      </c>
      <c r="U34" s="29">
        <v>0.0</v>
      </c>
      <c r="V34" s="29">
        <v>0.0</v>
      </c>
      <c r="W34" s="29">
        <v>0.0</v>
      </c>
      <c r="X34" s="29">
        <v>0.0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6.5" customHeight="1">
      <c r="A35" s="30"/>
      <c r="B35" s="34"/>
      <c r="C35" s="26" t="s">
        <v>33</v>
      </c>
      <c r="D35" s="20"/>
      <c r="E35" s="26" t="s">
        <v>27</v>
      </c>
      <c r="F35" s="20"/>
      <c r="G35" s="29">
        <v>2.0</v>
      </c>
      <c r="H35" s="29">
        <v>2.0</v>
      </c>
      <c r="I35" s="29">
        <v>2.0</v>
      </c>
      <c r="J35" s="29">
        <v>2.0</v>
      </c>
      <c r="K35" s="29">
        <v>2.0</v>
      </c>
      <c r="L35" s="29">
        <v>2.0</v>
      </c>
      <c r="M35" s="33">
        <v>0.0</v>
      </c>
      <c r="N35" s="29">
        <v>0.0</v>
      </c>
      <c r="O35" s="29">
        <v>0.0</v>
      </c>
      <c r="P35" s="29">
        <v>0.0</v>
      </c>
      <c r="Q35" s="29">
        <v>0.0</v>
      </c>
      <c r="R35" s="29">
        <v>0.0</v>
      </c>
      <c r="S35" s="29">
        <v>0.0</v>
      </c>
      <c r="T35" s="29">
        <v>0.0</v>
      </c>
      <c r="U35" s="29">
        <v>0.0</v>
      </c>
      <c r="V35" s="29">
        <v>0.0</v>
      </c>
      <c r="W35" s="29">
        <v>0.0</v>
      </c>
      <c r="X35" s="29">
        <v>0.0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6.5" customHeight="1">
      <c r="A36" s="30"/>
      <c r="B36" s="34"/>
      <c r="C36" s="26" t="s">
        <v>34</v>
      </c>
      <c r="D36" s="20"/>
      <c r="E36" s="26" t="s">
        <v>44</v>
      </c>
      <c r="F36" s="20"/>
      <c r="G36" s="29">
        <v>1.0</v>
      </c>
      <c r="H36" s="29">
        <v>2.0</v>
      </c>
      <c r="I36" s="29">
        <v>2.0</v>
      </c>
      <c r="J36" s="29">
        <v>2.0</v>
      </c>
      <c r="K36" s="29">
        <v>2.0</v>
      </c>
      <c r="L36" s="29">
        <v>1.0</v>
      </c>
      <c r="M36" s="33">
        <v>0.0</v>
      </c>
      <c r="N36" s="29">
        <v>0.0</v>
      </c>
      <c r="O36" s="29">
        <v>0.0</v>
      </c>
      <c r="P36" s="29">
        <v>0.0</v>
      </c>
      <c r="Q36" s="29">
        <v>0.0</v>
      </c>
      <c r="R36" s="29">
        <v>0.0</v>
      </c>
      <c r="S36" s="29">
        <v>0.0</v>
      </c>
      <c r="T36" s="29">
        <v>0.0</v>
      </c>
      <c r="U36" s="29">
        <v>0.0</v>
      </c>
      <c r="V36" s="29">
        <v>0.0</v>
      </c>
      <c r="W36" s="29">
        <v>0.0</v>
      </c>
      <c r="X36" s="29">
        <v>0.0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6.5" customHeight="1">
      <c r="A37" s="30"/>
      <c r="B37" s="34"/>
      <c r="C37" s="28"/>
      <c r="D37" s="20"/>
      <c r="E37" s="28"/>
      <c r="F37" s="20"/>
      <c r="G37" s="29"/>
      <c r="H37" s="29"/>
      <c r="I37" s="29"/>
      <c r="J37" s="29"/>
      <c r="K37" s="29"/>
      <c r="L37" s="29"/>
      <c r="M37" s="37">
        <v>1.0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6.5" customHeight="1">
      <c r="A38" s="30"/>
      <c r="B38" s="34"/>
      <c r="C38" s="26" t="s">
        <v>35</v>
      </c>
      <c r="D38" s="20"/>
      <c r="E38" s="26" t="s">
        <v>45</v>
      </c>
      <c r="F38" s="20"/>
      <c r="G38" s="29">
        <v>2.0</v>
      </c>
      <c r="H38" s="29">
        <v>2.0</v>
      </c>
      <c r="I38" s="29">
        <v>2.0</v>
      </c>
      <c r="J38" s="29">
        <v>2.0</v>
      </c>
      <c r="K38" s="29">
        <v>2.0</v>
      </c>
      <c r="L38" s="29">
        <v>2.0</v>
      </c>
      <c r="M38" s="29">
        <v>2.0</v>
      </c>
      <c r="N38" s="33">
        <v>0.0</v>
      </c>
      <c r="O38" s="29">
        <v>0.0</v>
      </c>
      <c r="P38" s="29">
        <v>0.0</v>
      </c>
      <c r="Q38" s="29">
        <v>0.0</v>
      </c>
      <c r="R38" s="29">
        <v>0.0</v>
      </c>
      <c r="S38" s="29">
        <v>0.0</v>
      </c>
      <c r="T38" s="29">
        <v>0.0</v>
      </c>
      <c r="U38" s="29">
        <v>0.0</v>
      </c>
      <c r="V38" s="29">
        <v>0.0</v>
      </c>
      <c r="W38" s="29">
        <v>0.0</v>
      </c>
      <c r="X38" s="29">
        <v>0.0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16.5" customHeight="1">
      <c r="A39" s="30"/>
      <c r="B39" s="34"/>
      <c r="C39" s="26" t="s">
        <v>36</v>
      </c>
      <c r="D39" s="20"/>
      <c r="E39" s="26" t="s">
        <v>44</v>
      </c>
      <c r="F39" s="20"/>
      <c r="G39" s="29">
        <v>1.0</v>
      </c>
      <c r="H39" s="29">
        <v>1.0</v>
      </c>
      <c r="I39" s="29">
        <v>1.0</v>
      </c>
      <c r="J39" s="29">
        <v>1.0</v>
      </c>
      <c r="K39" s="29">
        <v>1.0</v>
      </c>
      <c r="L39" s="29">
        <v>1.0</v>
      </c>
      <c r="M39" s="29">
        <v>1.0</v>
      </c>
      <c r="N39" s="33">
        <v>0.0</v>
      </c>
      <c r="O39" s="29">
        <v>0.0</v>
      </c>
      <c r="P39" s="29">
        <v>0.0</v>
      </c>
      <c r="Q39" s="29">
        <v>0.0</v>
      </c>
      <c r="R39" s="29">
        <v>0.0</v>
      </c>
      <c r="S39" s="29">
        <v>0.0</v>
      </c>
      <c r="T39" s="29">
        <v>0.0</v>
      </c>
      <c r="U39" s="29">
        <v>0.0</v>
      </c>
      <c r="V39" s="29">
        <v>0.0</v>
      </c>
      <c r="W39" s="29">
        <v>0.0</v>
      </c>
      <c r="X39" s="29">
        <v>0.0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5" customHeight="1">
      <c r="A40" s="30"/>
      <c r="B40" s="34"/>
      <c r="C40" s="26" t="s">
        <v>37</v>
      </c>
      <c r="D40" s="20"/>
      <c r="E40" s="26" t="s">
        <v>44</v>
      </c>
      <c r="F40" s="20"/>
      <c r="G40" s="29">
        <v>1.0</v>
      </c>
      <c r="H40" s="29">
        <v>1.0</v>
      </c>
      <c r="I40" s="29">
        <v>1.0</v>
      </c>
      <c r="J40" s="29">
        <v>1.0</v>
      </c>
      <c r="K40" s="29">
        <v>1.0</v>
      </c>
      <c r="L40" s="29">
        <v>1.0</v>
      </c>
      <c r="M40" s="29">
        <v>1.0</v>
      </c>
      <c r="N40" s="33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5" customHeight="1">
      <c r="A41" s="30"/>
      <c r="B41" s="34"/>
      <c r="C41" s="26" t="s">
        <v>38</v>
      </c>
      <c r="D41" s="20"/>
      <c r="E41" s="26" t="s">
        <v>27</v>
      </c>
      <c r="F41" s="20"/>
      <c r="G41" s="29">
        <v>1.0</v>
      </c>
      <c r="H41" s="29">
        <v>1.0</v>
      </c>
      <c r="I41" s="29">
        <v>1.0</v>
      </c>
      <c r="J41" s="29">
        <v>1.0</v>
      </c>
      <c r="K41" s="29">
        <v>1.0</v>
      </c>
      <c r="L41" s="29">
        <v>1.0</v>
      </c>
      <c r="M41" s="29">
        <v>1.0</v>
      </c>
      <c r="N41" s="33">
        <v>0.0</v>
      </c>
      <c r="O41" s="29">
        <v>0.0</v>
      </c>
      <c r="P41" s="29">
        <v>0.0</v>
      </c>
      <c r="Q41" s="29">
        <v>0.0</v>
      </c>
      <c r="R41" s="29">
        <v>0.0</v>
      </c>
      <c r="S41" s="29">
        <v>0.0</v>
      </c>
      <c r="T41" s="29">
        <v>0.0</v>
      </c>
      <c r="U41" s="29">
        <v>0.0</v>
      </c>
      <c r="V41" s="29">
        <v>0.0</v>
      </c>
      <c r="W41" s="29">
        <v>0.0</v>
      </c>
      <c r="X41" s="29">
        <v>0.0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5" customHeight="1">
      <c r="A42" s="30"/>
      <c r="B42" s="34"/>
      <c r="C42" s="26" t="s">
        <v>39</v>
      </c>
      <c r="D42" s="20"/>
      <c r="E42" s="26" t="s">
        <v>46</v>
      </c>
      <c r="F42" s="20"/>
      <c r="G42" s="29">
        <v>1.0</v>
      </c>
      <c r="H42" s="29">
        <v>1.0</v>
      </c>
      <c r="I42" s="29">
        <v>1.0</v>
      </c>
      <c r="J42" s="29">
        <v>1.0</v>
      </c>
      <c r="K42" s="29">
        <v>1.0</v>
      </c>
      <c r="L42" s="29">
        <v>1.0</v>
      </c>
      <c r="M42" s="29">
        <v>1.0</v>
      </c>
      <c r="N42" s="33">
        <v>0.0</v>
      </c>
      <c r="O42" s="29">
        <v>0.0</v>
      </c>
      <c r="P42" s="29">
        <v>0.0</v>
      </c>
      <c r="Q42" s="29">
        <v>0.0</v>
      </c>
      <c r="R42" s="29">
        <v>0.0</v>
      </c>
      <c r="S42" s="29">
        <v>0.0</v>
      </c>
      <c r="T42" s="29">
        <v>0.0</v>
      </c>
      <c r="U42" s="29">
        <v>0.0</v>
      </c>
      <c r="V42" s="29">
        <v>0.0</v>
      </c>
      <c r="W42" s="29">
        <v>0.0</v>
      </c>
      <c r="X42" s="29">
        <v>0.0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5" customHeight="1">
      <c r="A43" s="30"/>
      <c r="B43" s="34"/>
      <c r="C43" s="26" t="s">
        <v>40</v>
      </c>
      <c r="D43" s="20"/>
      <c r="E43" s="26" t="s">
        <v>46</v>
      </c>
      <c r="F43" s="20"/>
      <c r="G43" s="29">
        <v>1.0</v>
      </c>
      <c r="H43" s="29">
        <v>1.0</v>
      </c>
      <c r="I43" s="29">
        <v>1.0</v>
      </c>
      <c r="J43" s="29">
        <v>1.0</v>
      </c>
      <c r="K43" s="29">
        <v>1.0</v>
      </c>
      <c r="L43" s="29">
        <v>1.0</v>
      </c>
      <c r="M43" s="29">
        <v>1.0</v>
      </c>
      <c r="N43" s="33">
        <v>0.0</v>
      </c>
      <c r="O43" s="29">
        <v>0.0</v>
      </c>
      <c r="P43" s="29">
        <v>0.0</v>
      </c>
      <c r="Q43" s="29">
        <v>0.0</v>
      </c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>
        <v>0.0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5" customHeight="1">
      <c r="A44" s="30"/>
      <c r="B44" s="34"/>
      <c r="C44" s="26" t="s">
        <v>41</v>
      </c>
      <c r="D44" s="20"/>
      <c r="E44" s="26" t="s">
        <v>45</v>
      </c>
      <c r="F44" s="20"/>
      <c r="G44" s="29">
        <v>2.0</v>
      </c>
      <c r="H44" s="29">
        <v>2.0</v>
      </c>
      <c r="I44" s="29">
        <v>2.0</v>
      </c>
      <c r="J44" s="29">
        <v>2.0</v>
      </c>
      <c r="K44" s="29">
        <v>2.0</v>
      </c>
      <c r="L44" s="29">
        <v>2.0</v>
      </c>
      <c r="M44" s="29">
        <v>2.0</v>
      </c>
      <c r="N44" s="33">
        <v>0.0</v>
      </c>
      <c r="O44" s="29">
        <v>0.0</v>
      </c>
      <c r="P44" s="29">
        <v>0.0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5" customHeight="1">
      <c r="A45" s="30"/>
      <c r="B45" s="36"/>
      <c r="C45" s="26" t="s">
        <v>42</v>
      </c>
      <c r="D45" s="20"/>
      <c r="E45" s="26" t="s">
        <v>44</v>
      </c>
      <c r="F45" s="20"/>
      <c r="G45" s="29">
        <v>1.0</v>
      </c>
      <c r="H45" s="29">
        <v>1.0</v>
      </c>
      <c r="I45" s="29">
        <v>1.0</v>
      </c>
      <c r="J45" s="29">
        <v>1.0</v>
      </c>
      <c r="K45" s="29">
        <v>1.0</v>
      </c>
      <c r="L45" s="29">
        <v>1.0</v>
      </c>
      <c r="M45" s="29">
        <v>1.0</v>
      </c>
      <c r="N45" s="33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5" customHeight="1">
      <c r="A46" s="30"/>
      <c r="B46" s="32" t="s">
        <v>47</v>
      </c>
      <c r="C46" s="26" t="s">
        <v>48</v>
      </c>
      <c r="D46" s="20"/>
      <c r="E46" s="26" t="s">
        <v>49</v>
      </c>
      <c r="F46" s="20"/>
      <c r="G46" s="29">
        <v>1.0</v>
      </c>
      <c r="H46" s="29">
        <v>1.0</v>
      </c>
      <c r="I46" s="29">
        <v>1.0</v>
      </c>
      <c r="J46" s="29">
        <v>1.0</v>
      </c>
      <c r="K46" s="29">
        <v>1.0</v>
      </c>
      <c r="L46" s="29">
        <v>1.0</v>
      </c>
      <c r="M46" s="29">
        <v>1.0</v>
      </c>
      <c r="N46" s="33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5" customHeight="1">
      <c r="A47" s="30"/>
      <c r="B47" s="34"/>
      <c r="C47" s="26" t="s">
        <v>50</v>
      </c>
      <c r="D47" s="20"/>
      <c r="E47" s="26" t="s">
        <v>49</v>
      </c>
      <c r="F47" s="20"/>
      <c r="G47" s="29">
        <v>2.0</v>
      </c>
      <c r="H47" s="29">
        <v>2.0</v>
      </c>
      <c r="I47" s="29">
        <v>2.0</v>
      </c>
      <c r="J47" s="29">
        <v>2.0</v>
      </c>
      <c r="K47" s="29">
        <v>2.0</v>
      </c>
      <c r="L47" s="29">
        <v>2.0</v>
      </c>
      <c r="M47" s="29">
        <v>2.0</v>
      </c>
      <c r="N47" s="33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5" customHeight="1">
      <c r="A48" s="30"/>
      <c r="B48" s="34"/>
      <c r="C48" s="26" t="s">
        <v>51</v>
      </c>
      <c r="D48" s="20"/>
      <c r="E48" s="26" t="s">
        <v>52</v>
      </c>
      <c r="F48" s="20"/>
      <c r="G48" s="29">
        <v>2.0</v>
      </c>
      <c r="H48" s="29">
        <v>2.0</v>
      </c>
      <c r="I48" s="29">
        <v>2.0</v>
      </c>
      <c r="J48" s="29">
        <v>2.0</v>
      </c>
      <c r="K48" s="29">
        <v>2.0</v>
      </c>
      <c r="L48" s="29">
        <v>2.0</v>
      </c>
      <c r="M48" s="29">
        <v>2.0</v>
      </c>
      <c r="N48" s="29">
        <v>2.0</v>
      </c>
      <c r="O48" s="33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5" customHeight="1">
      <c r="A49" s="30"/>
      <c r="B49" s="34"/>
      <c r="C49" s="26" t="s">
        <v>53</v>
      </c>
      <c r="D49" s="20"/>
      <c r="E49" s="26" t="s">
        <v>49</v>
      </c>
      <c r="F49" s="20"/>
      <c r="G49" s="29">
        <v>1.0</v>
      </c>
      <c r="H49" s="29">
        <v>1.0</v>
      </c>
      <c r="I49" s="29">
        <v>1.0</v>
      </c>
      <c r="J49" s="29">
        <v>1.0</v>
      </c>
      <c r="K49" s="29">
        <v>1.0</v>
      </c>
      <c r="L49" s="29">
        <v>1.0</v>
      </c>
      <c r="M49" s="29">
        <v>1.0</v>
      </c>
      <c r="N49" s="29">
        <v>1.0</v>
      </c>
      <c r="O49" s="33">
        <v>0.0</v>
      </c>
      <c r="P49" s="38">
        <v>0.0</v>
      </c>
      <c r="Q49" s="38">
        <v>0.0</v>
      </c>
      <c r="R49" s="38">
        <v>0.0</v>
      </c>
      <c r="S49" s="38">
        <v>0.0</v>
      </c>
      <c r="T49" s="38">
        <v>0.0</v>
      </c>
      <c r="U49" s="38">
        <v>0.0</v>
      </c>
      <c r="V49" s="38">
        <v>0.0</v>
      </c>
      <c r="W49" s="38">
        <v>0.0</v>
      </c>
      <c r="X49" s="38">
        <v>0.0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5" customHeight="1">
      <c r="A50" s="30"/>
      <c r="B50" s="34"/>
      <c r="C50" s="26" t="s">
        <v>54</v>
      </c>
      <c r="D50" s="20"/>
      <c r="E50" s="26" t="s">
        <v>49</v>
      </c>
      <c r="F50" s="20"/>
      <c r="G50" s="29">
        <v>2.0</v>
      </c>
      <c r="H50" s="29">
        <v>2.0</v>
      </c>
      <c r="I50" s="29">
        <v>2.0</v>
      </c>
      <c r="J50" s="29">
        <v>2.0</v>
      </c>
      <c r="K50" s="29">
        <v>2.0</v>
      </c>
      <c r="L50" s="29">
        <v>2.0</v>
      </c>
      <c r="M50" s="29">
        <v>2.0</v>
      </c>
      <c r="N50" s="29">
        <v>2.0</v>
      </c>
      <c r="O50" s="33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5" customHeight="1">
      <c r="A51" s="30"/>
      <c r="B51" s="34"/>
      <c r="C51" s="26" t="s">
        <v>55</v>
      </c>
      <c r="D51" s="20"/>
      <c r="E51" s="26" t="s">
        <v>52</v>
      </c>
      <c r="F51" s="20"/>
      <c r="G51" s="29">
        <v>3.0</v>
      </c>
      <c r="H51" s="29">
        <v>3.0</v>
      </c>
      <c r="I51" s="29">
        <v>3.0</v>
      </c>
      <c r="J51" s="29">
        <v>3.0</v>
      </c>
      <c r="K51" s="29">
        <v>3.0</v>
      </c>
      <c r="L51" s="29">
        <v>3.0</v>
      </c>
      <c r="M51" s="29">
        <v>3.0</v>
      </c>
      <c r="N51" s="29">
        <v>3.0</v>
      </c>
      <c r="O51" s="33">
        <v>0.0</v>
      </c>
      <c r="P51" s="38">
        <v>0.0</v>
      </c>
      <c r="Q51" s="38">
        <v>0.0</v>
      </c>
      <c r="R51" s="38">
        <v>0.0</v>
      </c>
      <c r="S51" s="38">
        <v>0.0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6.5" customHeight="1">
      <c r="A52" s="30"/>
      <c r="B52" s="34"/>
      <c r="C52" s="26" t="s">
        <v>56</v>
      </c>
      <c r="D52" s="20"/>
      <c r="E52" s="26" t="s">
        <v>49</v>
      </c>
      <c r="F52" s="20"/>
      <c r="G52" s="29">
        <v>1.0</v>
      </c>
      <c r="H52" s="29">
        <v>1.0</v>
      </c>
      <c r="I52" s="29">
        <v>1.0</v>
      </c>
      <c r="J52" s="29">
        <v>1.0</v>
      </c>
      <c r="K52" s="29">
        <v>1.0</v>
      </c>
      <c r="L52" s="29">
        <v>1.0</v>
      </c>
      <c r="M52" s="29">
        <v>1.0</v>
      </c>
      <c r="N52" s="29">
        <v>1.0</v>
      </c>
      <c r="O52" s="33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0.0</v>
      </c>
      <c r="U52" s="38">
        <v>0.0</v>
      </c>
      <c r="V52" s="38">
        <v>0.0</v>
      </c>
      <c r="W52" s="38">
        <v>0.0</v>
      </c>
      <c r="X52" s="38">
        <v>0.0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6.5" customHeight="1">
      <c r="A53" s="30"/>
      <c r="B53" s="34"/>
      <c r="C53" s="26" t="s">
        <v>57</v>
      </c>
      <c r="D53" s="20"/>
      <c r="E53" s="26" t="s">
        <v>49</v>
      </c>
      <c r="F53" s="20"/>
      <c r="G53" s="29">
        <v>1.0</v>
      </c>
      <c r="H53" s="29">
        <v>1.0</v>
      </c>
      <c r="I53" s="29">
        <v>1.0</v>
      </c>
      <c r="J53" s="29">
        <v>1.0</v>
      </c>
      <c r="K53" s="29">
        <v>1.0</v>
      </c>
      <c r="L53" s="29">
        <v>1.0</v>
      </c>
      <c r="M53" s="29">
        <v>1.0</v>
      </c>
      <c r="N53" s="29">
        <v>1.0</v>
      </c>
      <c r="O53" s="33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6.5" customHeight="1">
      <c r="A54" s="30"/>
      <c r="B54" s="34"/>
      <c r="C54" s="26" t="s">
        <v>58</v>
      </c>
      <c r="D54" s="20"/>
      <c r="E54" s="26" t="s">
        <v>52</v>
      </c>
      <c r="F54" s="20"/>
      <c r="G54" s="29">
        <v>1.0</v>
      </c>
      <c r="H54" s="29">
        <v>1.0</v>
      </c>
      <c r="I54" s="29">
        <v>1.0</v>
      </c>
      <c r="J54" s="29">
        <v>1.0</v>
      </c>
      <c r="K54" s="29">
        <v>1.0</v>
      </c>
      <c r="L54" s="29">
        <v>1.0</v>
      </c>
      <c r="M54" s="29">
        <v>1.0</v>
      </c>
      <c r="N54" s="29">
        <v>1.0</v>
      </c>
      <c r="O54" s="33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6.5" customHeight="1">
      <c r="A55" s="30"/>
      <c r="B55" s="34"/>
      <c r="C55" s="26" t="s">
        <v>59</v>
      </c>
      <c r="D55" s="20"/>
      <c r="E55" s="26" t="s">
        <v>49</v>
      </c>
      <c r="F55" s="20"/>
      <c r="G55" s="29">
        <v>1.0</v>
      </c>
      <c r="H55" s="29">
        <v>1.0</v>
      </c>
      <c r="I55" s="29">
        <v>1.0</v>
      </c>
      <c r="J55" s="29">
        <v>1.0</v>
      </c>
      <c r="K55" s="29">
        <v>1.0</v>
      </c>
      <c r="L55" s="29">
        <v>1.0</v>
      </c>
      <c r="M55" s="29">
        <v>1.0</v>
      </c>
      <c r="N55" s="29">
        <v>1.0</v>
      </c>
      <c r="O55" s="33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16.5" customHeight="1">
      <c r="A56" s="30"/>
      <c r="B56" s="34"/>
      <c r="C56" s="26" t="s">
        <v>60</v>
      </c>
      <c r="D56" s="20"/>
      <c r="E56" s="26" t="s">
        <v>49</v>
      </c>
      <c r="F56" s="20"/>
      <c r="G56" s="29">
        <v>2.0</v>
      </c>
      <c r="H56" s="29">
        <v>2.0</v>
      </c>
      <c r="I56" s="29">
        <v>2.0</v>
      </c>
      <c r="J56" s="29">
        <v>2.0</v>
      </c>
      <c r="K56" s="29">
        <v>2.0</v>
      </c>
      <c r="L56" s="29">
        <v>2.0</v>
      </c>
      <c r="M56" s="29">
        <v>2.0</v>
      </c>
      <c r="N56" s="29">
        <v>2.0</v>
      </c>
      <c r="O56" s="38">
        <v>2.0</v>
      </c>
      <c r="P56" s="33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5" customHeight="1">
      <c r="A57" s="30"/>
      <c r="B57" s="34"/>
      <c r="C57" s="26" t="s">
        <v>61</v>
      </c>
      <c r="D57" s="20"/>
      <c r="E57" s="26" t="s">
        <v>52</v>
      </c>
      <c r="F57" s="20"/>
      <c r="G57" s="29">
        <v>2.0</v>
      </c>
      <c r="H57" s="29">
        <v>2.0</v>
      </c>
      <c r="I57" s="29">
        <v>2.0</v>
      </c>
      <c r="J57" s="29">
        <v>2.0</v>
      </c>
      <c r="K57" s="29">
        <v>2.0</v>
      </c>
      <c r="L57" s="29">
        <v>2.0</v>
      </c>
      <c r="M57" s="29">
        <v>2.0</v>
      </c>
      <c r="N57" s="29">
        <v>2.0</v>
      </c>
      <c r="O57" s="38">
        <v>2.0</v>
      </c>
      <c r="P57" s="33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5" customHeight="1">
      <c r="A58" s="30"/>
      <c r="B58" s="34"/>
      <c r="C58" s="26" t="s">
        <v>62</v>
      </c>
      <c r="D58" s="20"/>
      <c r="E58" s="26" t="s">
        <v>49</v>
      </c>
      <c r="F58" s="20"/>
      <c r="G58" s="29">
        <v>1.0</v>
      </c>
      <c r="H58" s="29">
        <v>1.0</v>
      </c>
      <c r="I58" s="29">
        <v>1.0</v>
      </c>
      <c r="J58" s="29">
        <v>1.0</v>
      </c>
      <c r="K58" s="29">
        <v>1.0</v>
      </c>
      <c r="L58" s="29">
        <v>1.0</v>
      </c>
      <c r="M58" s="29">
        <v>1.0</v>
      </c>
      <c r="N58" s="29">
        <v>1.0</v>
      </c>
      <c r="O58" s="38">
        <v>1.0</v>
      </c>
      <c r="P58" s="33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5" customHeight="1">
      <c r="A59" s="30"/>
      <c r="B59" s="34"/>
      <c r="C59" s="26" t="s">
        <v>63</v>
      </c>
      <c r="D59" s="20"/>
      <c r="E59" s="26" t="s">
        <v>49</v>
      </c>
      <c r="F59" s="20"/>
      <c r="G59" s="29">
        <v>2.0</v>
      </c>
      <c r="H59" s="29">
        <v>2.0</v>
      </c>
      <c r="I59" s="29">
        <v>2.0</v>
      </c>
      <c r="J59" s="29">
        <v>2.0</v>
      </c>
      <c r="K59" s="29">
        <v>2.0</v>
      </c>
      <c r="L59" s="29">
        <v>2.0</v>
      </c>
      <c r="M59" s="29">
        <v>2.0</v>
      </c>
      <c r="N59" s="29">
        <v>2.0</v>
      </c>
      <c r="O59" s="38">
        <v>2.0</v>
      </c>
      <c r="P59" s="33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5" customHeight="1">
      <c r="A60" s="30"/>
      <c r="B60" s="34"/>
      <c r="C60" s="26" t="s">
        <v>64</v>
      </c>
      <c r="D60" s="20"/>
      <c r="E60" s="26" t="s">
        <v>52</v>
      </c>
      <c r="F60" s="20"/>
      <c r="G60" s="29">
        <v>4.0</v>
      </c>
      <c r="H60" s="29">
        <v>2.0</v>
      </c>
      <c r="I60" s="29">
        <v>2.0</v>
      </c>
      <c r="J60" s="29">
        <v>2.0</v>
      </c>
      <c r="K60" s="29">
        <v>2.0</v>
      </c>
      <c r="L60" s="29">
        <v>2.0</v>
      </c>
      <c r="M60" s="29">
        <v>2.0</v>
      </c>
      <c r="N60" s="29">
        <v>2.0</v>
      </c>
      <c r="O60" s="38">
        <v>2.0</v>
      </c>
      <c r="P60" s="33">
        <v>0.0</v>
      </c>
      <c r="Q60" s="38">
        <v>0.0</v>
      </c>
      <c r="R60" s="38">
        <v>0.0</v>
      </c>
      <c r="S60" s="38">
        <v>0.0</v>
      </c>
      <c r="T60" s="38">
        <v>0.0</v>
      </c>
      <c r="U60" s="38">
        <v>0.0</v>
      </c>
      <c r="V60" s="38">
        <v>0.0</v>
      </c>
      <c r="W60" s="38">
        <v>0.0</v>
      </c>
      <c r="X60" s="38">
        <v>0.0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5" customHeight="1">
      <c r="A61" s="30"/>
      <c r="B61" s="34"/>
      <c r="C61" s="28"/>
      <c r="D61" s="20"/>
      <c r="E61" s="28"/>
      <c r="F61" s="20"/>
      <c r="G61" s="29"/>
      <c r="H61" s="29"/>
      <c r="I61" s="29"/>
      <c r="J61" s="29"/>
      <c r="K61" s="29"/>
      <c r="L61" s="29"/>
      <c r="M61" s="29"/>
      <c r="N61" s="29"/>
      <c r="O61" s="38"/>
      <c r="P61" s="35">
        <v>2.0</v>
      </c>
      <c r="Q61" s="38"/>
      <c r="R61" s="38"/>
      <c r="S61" s="38"/>
      <c r="T61" s="38"/>
      <c r="U61" s="38"/>
      <c r="V61" s="38"/>
      <c r="W61" s="38"/>
      <c r="X61" s="38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5" customHeight="1">
      <c r="A62" s="30"/>
      <c r="B62" s="34"/>
      <c r="C62" s="26" t="s">
        <v>65</v>
      </c>
      <c r="D62" s="20"/>
      <c r="E62" s="26" t="s">
        <v>49</v>
      </c>
      <c r="F62" s="20"/>
      <c r="G62" s="29">
        <v>1.0</v>
      </c>
      <c r="H62" s="29">
        <v>1.0</v>
      </c>
      <c r="I62" s="29">
        <v>1.0</v>
      </c>
      <c r="J62" s="29">
        <v>1.0</v>
      </c>
      <c r="K62" s="29">
        <v>1.0</v>
      </c>
      <c r="L62" s="29">
        <v>1.0</v>
      </c>
      <c r="M62" s="29">
        <v>1.0</v>
      </c>
      <c r="N62" s="29">
        <v>1.0</v>
      </c>
      <c r="O62" s="38">
        <v>1.0</v>
      </c>
      <c r="P62" s="33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5" customHeight="1">
      <c r="A63" s="30"/>
      <c r="B63" s="34"/>
      <c r="C63" s="26" t="s">
        <v>66</v>
      </c>
      <c r="D63" s="20"/>
      <c r="E63" s="26" t="s">
        <v>49</v>
      </c>
      <c r="F63" s="20"/>
      <c r="G63" s="29">
        <v>1.0</v>
      </c>
      <c r="H63" s="29">
        <v>2.0</v>
      </c>
      <c r="I63" s="29">
        <v>2.0</v>
      </c>
      <c r="J63" s="29">
        <v>2.0</v>
      </c>
      <c r="K63" s="29">
        <v>2.0</v>
      </c>
      <c r="L63" s="29">
        <v>2.0</v>
      </c>
      <c r="M63" s="29">
        <v>2.0</v>
      </c>
      <c r="N63" s="29">
        <v>2.0</v>
      </c>
      <c r="O63" s="38">
        <v>2.0</v>
      </c>
      <c r="P63" s="33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5" customHeight="1">
      <c r="A64" s="30"/>
      <c r="B64" s="34"/>
      <c r="C64" s="28"/>
      <c r="D64" s="20"/>
      <c r="E64" s="28"/>
      <c r="F64" s="20"/>
      <c r="G64" s="29"/>
      <c r="H64" s="29"/>
      <c r="I64" s="29"/>
      <c r="J64" s="29"/>
      <c r="K64" s="29"/>
      <c r="L64" s="29"/>
      <c r="M64" s="29"/>
      <c r="N64" s="29"/>
      <c r="O64" s="38"/>
      <c r="P64" s="37">
        <v>1.0</v>
      </c>
      <c r="Q64" s="38"/>
      <c r="R64" s="38"/>
      <c r="S64" s="38"/>
      <c r="T64" s="38"/>
      <c r="U64" s="38"/>
      <c r="V64" s="38"/>
      <c r="W64" s="38"/>
      <c r="X64" s="38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5" customHeight="1">
      <c r="A65" s="30"/>
      <c r="B65" s="34"/>
      <c r="C65" s="26" t="s">
        <v>67</v>
      </c>
      <c r="D65" s="20"/>
      <c r="E65" s="26" t="s">
        <v>52</v>
      </c>
      <c r="F65" s="20"/>
      <c r="G65" s="29">
        <v>2.0</v>
      </c>
      <c r="H65" s="29">
        <v>2.0</v>
      </c>
      <c r="I65" s="29">
        <v>2.0</v>
      </c>
      <c r="J65" s="29">
        <v>2.0</v>
      </c>
      <c r="K65" s="29">
        <v>2.0</v>
      </c>
      <c r="L65" s="29">
        <v>2.0</v>
      </c>
      <c r="M65" s="29">
        <v>2.0</v>
      </c>
      <c r="N65" s="29">
        <v>2.0</v>
      </c>
      <c r="O65" s="38">
        <v>2.0</v>
      </c>
      <c r="P65" s="33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5" customHeight="1">
      <c r="A66" s="30"/>
      <c r="B66" s="34"/>
      <c r="C66" s="26" t="s">
        <v>68</v>
      </c>
      <c r="D66" s="20"/>
      <c r="E66" s="26" t="s">
        <v>49</v>
      </c>
      <c r="F66" s="20"/>
      <c r="G66" s="29">
        <v>1.0</v>
      </c>
      <c r="H66" s="29">
        <v>1.0</v>
      </c>
      <c r="I66" s="29">
        <v>1.0</v>
      </c>
      <c r="J66" s="29">
        <v>1.0</v>
      </c>
      <c r="K66" s="29">
        <v>1.0</v>
      </c>
      <c r="L66" s="29">
        <v>1.0</v>
      </c>
      <c r="M66" s="29">
        <v>1.0</v>
      </c>
      <c r="N66" s="29">
        <v>1.0</v>
      </c>
      <c r="O66" s="38">
        <v>1.0</v>
      </c>
      <c r="P66" s="38">
        <v>1.0</v>
      </c>
      <c r="Q66" s="33">
        <v>0.0</v>
      </c>
      <c r="R66" s="38">
        <v>0.0</v>
      </c>
      <c r="S66" s="38">
        <v>0.0</v>
      </c>
      <c r="T66" s="38">
        <v>0.0</v>
      </c>
      <c r="U66" s="38">
        <v>0.0</v>
      </c>
      <c r="V66" s="38">
        <v>0.0</v>
      </c>
      <c r="W66" s="38">
        <v>0.0</v>
      </c>
      <c r="X66" s="38">
        <v>0.0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5" customHeight="1">
      <c r="A67" s="30"/>
      <c r="B67" s="34"/>
      <c r="C67" s="26" t="s">
        <v>69</v>
      </c>
      <c r="D67" s="20"/>
      <c r="E67" s="26" t="s">
        <v>49</v>
      </c>
      <c r="F67" s="20"/>
      <c r="G67" s="29">
        <v>2.0</v>
      </c>
      <c r="H67" s="29">
        <v>2.0</v>
      </c>
      <c r="I67" s="29">
        <v>2.0</v>
      </c>
      <c r="J67" s="29">
        <v>2.0</v>
      </c>
      <c r="K67" s="29">
        <v>2.0</v>
      </c>
      <c r="L67" s="29">
        <v>2.0</v>
      </c>
      <c r="M67" s="29">
        <v>2.0</v>
      </c>
      <c r="N67" s="29">
        <v>2.0</v>
      </c>
      <c r="O67" s="38">
        <v>2.0</v>
      </c>
      <c r="P67" s="38">
        <v>2.0</v>
      </c>
      <c r="Q67" s="33">
        <v>0.0</v>
      </c>
      <c r="R67" s="38">
        <v>0.0</v>
      </c>
      <c r="S67" s="38">
        <v>0.0</v>
      </c>
      <c r="T67" s="38">
        <v>0.0</v>
      </c>
      <c r="U67" s="38">
        <v>0.0</v>
      </c>
      <c r="V67" s="38">
        <v>0.0</v>
      </c>
      <c r="W67" s="38">
        <v>0.0</v>
      </c>
      <c r="X67" s="38">
        <v>0.0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5" customHeight="1">
      <c r="A68" s="30"/>
      <c r="B68" s="34"/>
      <c r="C68" s="26" t="s">
        <v>70</v>
      </c>
      <c r="D68" s="20"/>
      <c r="E68" s="26" t="s">
        <v>52</v>
      </c>
      <c r="F68" s="20"/>
      <c r="G68" s="29">
        <v>2.0</v>
      </c>
      <c r="H68" s="29">
        <v>1.0</v>
      </c>
      <c r="I68" s="29">
        <v>1.0</v>
      </c>
      <c r="J68" s="29">
        <v>1.0</v>
      </c>
      <c r="K68" s="29">
        <v>1.0</v>
      </c>
      <c r="L68" s="29">
        <v>1.0</v>
      </c>
      <c r="M68" s="29">
        <v>1.0</v>
      </c>
      <c r="N68" s="29">
        <v>1.0</v>
      </c>
      <c r="O68" s="38">
        <v>1.0</v>
      </c>
      <c r="P68" s="38">
        <v>1.0</v>
      </c>
      <c r="Q68" s="33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6.5" customHeight="1">
      <c r="A69" s="30"/>
      <c r="B69" s="34"/>
      <c r="C69" s="28"/>
      <c r="D69" s="20"/>
      <c r="E69" s="28"/>
      <c r="F69" s="20"/>
      <c r="G69" s="29"/>
      <c r="H69" s="29"/>
      <c r="I69" s="29"/>
      <c r="J69" s="29"/>
      <c r="K69" s="29"/>
      <c r="L69" s="29"/>
      <c r="M69" s="29"/>
      <c r="N69" s="29"/>
      <c r="O69" s="38"/>
      <c r="P69" s="38"/>
      <c r="Q69" s="35">
        <v>1.0</v>
      </c>
      <c r="R69" s="38"/>
      <c r="S69" s="38"/>
      <c r="T69" s="38"/>
      <c r="U69" s="38"/>
      <c r="V69" s="38"/>
      <c r="W69" s="38"/>
      <c r="X69" s="38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6.5" customHeight="1">
      <c r="A70" s="30"/>
      <c r="B70" s="34"/>
      <c r="C70" s="26" t="s">
        <v>71</v>
      </c>
      <c r="D70" s="20"/>
      <c r="E70" s="26" t="s">
        <v>49</v>
      </c>
      <c r="F70" s="20"/>
      <c r="G70" s="29">
        <v>1.0</v>
      </c>
      <c r="H70" s="29">
        <v>1.0</v>
      </c>
      <c r="I70" s="29">
        <v>1.0</v>
      </c>
      <c r="J70" s="29">
        <v>1.0</v>
      </c>
      <c r="K70" s="29">
        <v>1.0</v>
      </c>
      <c r="L70" s="29">
        <v>1.0</v>
      </c>
      <c r="M70" s="29">
        <v>1.0</v>
      </c>
      <c r="N70" s="29">
        <v>1.0</v>
      </c>
      <c r="O70" s="38">
        <v>1.0</v>
      </c>
      <c r="P70" s="38">
        <v>1.0</v>
      </c>
      <c r="Q70" s="33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6.5" customHeight="1">
      <c r="A71" s="30"/>
      <c r="B71" s="34"/>
      <c r="C71" s="26" t="s">
        <v>72</v>
      </c>
      <c r="D71" s="20"/>
      <c r="E71" s="26" t="s">
        <v>49</v>
      </c>
      <c r="F71" s="20"/>
      <c r="G71" s="29">
        <v>2.0</v>
      </c>
      <c r="H71" s="29">
        <v>2.0</v>
      </c>
      <c r="I71" s="29">
        <v>2.0</v>
      </c>
      <c r="J71" s="29">
        <v>2.0</v>
      </c>
      <c r="K71" s="29">
        <v>2.0</v>
      </c>
      <c r="L71" s="29">
        <v>2.0</v>
      </c>
      <c r="M71" s="29">
        <v>2.0</v>
      </c>
      <c r="N71" s="29">
        <v>2.0</v>
      </c>
      <c r="O71" s="38">
        <v>2.0</v>
      </c>
      <c r="P71" s="38">
        <v>2.0</v>
      </c>
      <c r="Q71" s="33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6.5" customHeight="1">
      <c r="A72" s="30"/>
      <c r="B72" s="34"/>
      <c r="C72" s="26" t="s">
        <v>73</v>
      </c>
      <c r="D72" s="20"/>
      <c r="E72" s="26" t="s">
        <v>52</v>
      </c>
      <c r="F72" s="20"/>
      <c r="G72" s="29">
        <v>3.0</v>
      </c>
      <c r="H72" s="29">
        <v>3.0</v>
      </c>
      <c r="I72" s="29">
        <v>3.0</v>
      </c>
      <c r="J72" s="29">
        <v>3.0</v>
      </c>
      <c r="K72" s="29">
        <v>3.0</v>
      </c>
      <c r="L72" s="29">
        <v>3.0</v>
      </c>
      <c r="M72" s="29">
        <v>3.0</v>
      </c>
      <c r="N72" s="29">
        <v>3.0</v>
      </c>
      <c r="O72" s="38">
        <v>3.0</v>
      </c>
      <c r="P72" s="38">
        <v>3.0</v>
      </c>
      <c r="Q72" s="33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16.5" customHeight="1">
      <c r="A73" s="30"/>
      <c r="B73" s="34"/>
      <c r="C73" s="26" t="s">
        <v>74</v>
      </c>
      <c r="D73" s="20"/>
      <c r="E73" s="26" t="s">
        <v>49</v>
      </c>
      <c r="F73" s="20"/>
      <c r="G73" s="29">
        <v>1.0</v>
      </c>
      <c r="H73" s="29">
        <v>1.0</v>
      </c>
      <c r="I73" s="29">
        <v>1.0</v>
      </c>
      <c r="J73" s="29">
        <v>1.0</v>
      </c>
      <c r="K73" s="29">
        <v>1.0</v>
      </c>
      <c r="L73" s="29">
        <v>1.0</v>
      </c>
      <c r="M73" s="29">
        <v>1.0</v>
      </c>
      <c r="N73" s="29">
        <v>1.0</v>
      </c>
      <c r="O73" s="38">
        <v>1.0</v>
      </c>
      <c r="P73" s="38">
        <v>1.0</v>
      </c>
      <c r="Q73" s="33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5" customHeight="1">
      <c r="A74" s="30"/>
      <c r="B74" s="34"/>
      <c r="C74" s="26" t="s">
        <v>75</v>
      </c>
      <c r="D74" s="20"/>
      <c r="E74" s="26" t="s">
        <v>49</v>
      </c>
      <c r="F74" s="20"/>
      <c r="G74" s="29">
        <v>2.0</v>
      </c>
      <c r="H74" s="29">
        <v>2.0</v>
      </c>
      <c r="I74" s="29">
        <v>2.0</v>
      </c>
      <c r="J74" s="29">
        <v>2.0</v>
      </c>
      <c r="K74" s="29">
        <v>2.0</v>
      </c>
      <c r="L74" s="29">
        <v>2.0</v>
      </c>
      <c r="M74" s="29">
        <v>2.0</v>
      </c>
      <c r="N74" s="29">
        <v>2.0</v>
      </c>
      <c r="O74" s="38">
        <v>2.0</v>
      </c>
      <c r="P74" s="38">
        <v>2.0</v>
      </c>
      <c r="Q74" s="33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5" customHeight="1">
      <c r="A75" s="30"/>
      <c r="B75" s="34"/>
      <c r="C75" s="26" t="s">
        <v>76</v>
      </c>
      <c r="D75" s="20"/>
      <c r="E75" s="26" t="s">
        <v>52</v>
      </c>
      <c r="F75" s="20"/>
      <c r="G75" s="29">
        <v>4.0</v>
      </c>
      <c r="H75" s="29">
        <v>2.0</v>
      </c>
      <c r="I75" s="29">
        <v>2.0</v>
      </c>
      <c r="J75" s="29">
        <v>2.0</v>
      </c>
      <c r="K75" s="29">
        <v>2.0</v>
      </c>
      <c r="L75" s="29">
        <v>2.0</v>
      </c>
      <c r="M75" s="29">
        <v>2.0</v>
      </c>
      <c r="N75" s="29">
        <v>2.0</v>
      </c>
      <c r="O75" s="38">
        <v>2.0</v>
      </c>
      <c r="P75" s="38">
        <v>2.0</v>
      </c>
      <c r="Q75" s="33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5" customHeight="1">
      <c r="A76" s="30"/>
      <c r="B76" s="34"/>
      <c r="C76" s="26" t="s">
        <v>77</v>
      </c>
      <c r="D76" s="20"/>
      <c r="E76" s="26" t="s">
        <v>49</v>
      </c>
      <c r="F76" s="20"/>
      <c r="G76" s="29">
        <v>1.0</v>
      </c>
      <c r="H76" s="29">
        <v>1.0</v>
      </c>
      <c r="I76" s="29">
        <v>1.0</v>
      </c>
      <c r="J76" s="29">
        <v>1.0</v>
      </c>
      <c r="K76" s="29">
        <v>1.0</v>
      </c>
      <c r="L76" s="29">
        <v>1.0</v>
      </c>
      <c r="M76" s="29">
        <v>1.0</v>
      </c>
      <c r="N76" s="29">
        <v>1.0</v>
      </c>
      <c r="O76" s="38">
        <v>1.0</v>
      </c>
      <c r="P76" s="38">
        <v>1.0</v>
      </c>
      <c r="Q76" s="38">
        <v>1.0</v>
      </c>
      <c r="R76" s="33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5" customHeight="1">
      <c r="A77" s="30"/>
      <c r="B77" s="34"/>
      <c r="C77" s="26" t="s">
        <v>78</v>
      </c>
      <c r="D77" s="20"/>
      <c r="E77" s="26" t="s">
        <v>49</v>
      </c>
      <c r="F77" s="20"/>
      <c r="G77" s="29">
        <v>2.0</v>
      </c>
      <c r="H77" s="29">
        <v>2.0</v>
      </c>
      <c r="I77" s="29">
        <v>2.0</v>
      </c>
      <c r="J77" s="29">
        <v>2.0</v>
      </c>
      <c r="K77" s="29">
        <v>2.0</v>
      </c>
      <c r="L77" s="29">
        <v>2.0</v>
      </c>
      <c r="M77" s="29">
        <v>2.0</v>
      </c>
      <c r="N77" s="29">
        <v>2.0</v>
      </c>
      <c r="O77" s="38">
        <v>2.0</v>
      </c>
      <c r="P77" s="38">
        <v>2.0</v>
      </c>
      <c r="Q77" s="38">
        <v>2.0</v>
      </c>
      <c r="R77" s="33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5" customHeight="1">
      <c r="A78" s="30"/>
      <c r="B78" s="34"/>
      <c r="C78" s="26" t="s">
        <v>79</v>
      </c>
      <c r="D78" s="20"/>
      <c r="E78" s="26" t="s">
        <v>52</v>
      </c>
      <c r="F78" s="20"/>
      <c r="G78" s="29">
        <v>2.0</v>
      </c>
      <c r="H78" s="29">
        <v>2.0</v>
      </c>
      <c r="I78" s="29">
        <v>2.0</v>
      </c>
      <c r="J78" s="29">
        <v>2.0</v>
      </c>
      <c r="K78" s="29">
        <v>2.0</v>
      </c>
      <c r="L78" s="29">
        <v>2.0</v>
      </c>
      <c r="M78" s="29">
        <v>2.0</v>
      </c>
      <c r="N78" s="29">
        <v>2.0</v>
      </c>
      <c r="O78" s="38">
        <v>2.0</v>
      </c>
      <c r="P78" s="38">
        <v>2.0</v>
      </c>
      <c r="Q78" s="38">
        <v>2.0</v>
      </c>
      <c r="R78" s="33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5" customHeight="1">
      <c r="A79" s="30"/>
      <c r="B79" s="34"/>
      <c r="C79" s="26" t="s">
        <v>80</v>
      </c>
      <c r="D79" s="20"/>
      <c r="E79" s="26" t="s">
        <v>49</v>
      </c>
      <c r="F79" s="20"/>
      <c r="G79" s="29">
        <v>1.0</v>
      </c>
      <c r="H79" s="29">
        <v>1.0</v>
      </c>
      <c r="I79" s="29">
        <v>1.0</v>
      </c>
      <c r="J79" s="29">
        <v>1.0</v>
      </c>
      <c r="K79" s="29">
        <v>1.0</v>
      </c>
      <c r="L79" s="29">
        <v>1.0</v>
      </c>
      <c r="M79" s="29">
        <v>1.0</v>
      </c>
      <c r="N79" s="29">
        <v>1.0</v>
      </c>
      <c r="O79" s="38">
        <v>1.0</v>
      </c>
      <c r="P79" s="38">
        <v>1.0</v>
      </c>
      <c r="Q79" s="38">
        <v>1.0</v>
      </c>
      <c r="R79" s="33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5" customHeight="1">
      <c r="A80" s="30"/>
      <c r="B80" s="34"/>
      <c r="C80" s="26" t="s">
        <v>81</v>
      </c>
      <c r="D80" s="20"/>
      <c r="E80" s="26" t="s">
        <v>49</v>
      </c>
      <c r="F80" s="20"/>
      <c r="G80" s="29">
        <v>2.0</v>
      </c>
      <c r="H80" s="29">
        <v>2.0</v>
      </c>
      <c r="I80" s="29">
        <v>2.0</v>
      </c>
      <c r="J80" s="29">
        <v>2.0</v>
      </c>
      <c r="K80" s="29">
        <v>2.0</v>
      </c>
      <c r="L80" s="29">
        <v>2.0</v>
      </c>
      <c r="M80" s="29">
        <v>2.0</v>
      </c>
      <c r="N80" s="29">
        <v>2.0</v>
      </c>
      <c r="O80" s="38">
        <v>2.0</v>
      </c>
      <c r="P80" s="38">
        <v>2.0</v>
      </c>
      <c r="Q80" s="38">
        <v>2.0</v>
      </c>
      <c r="R80" s="33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5" customHeight="1">
      <c r="A81" s="30"/>
      <c r="B81" s="34"/>
      <c r="C81" s="26" t="s">
        <v>82</v>
      </c>
      <c r="D81" s="20"/>
      <c r="E81" s="26" t="s">
        <v>52</v>
      </c>
      <c r="F81" s="20"/>
      <c r="G81" s="29">
        <v>2.0</v>
      </c>
      <c r="H81" s="29">
        <v>2.0</v>
      </c>
      <c r="I81" s="29">
        <v>2.0</v>
      </c>
      <c r="J81" s="29">
        <v>2.0</v>
      </c>
      <c r="K81" s="29">
        <v>2.0</v>
      </c>
      <c r="L81" s="29">
        <v>2.0</v>
      </c>
      <c r="M81" s="29">
        <v>2.0</v>
      </c>
      <c r="N81" s="29">
        <v>2.0</v>
      </c>
      <c r="O81" s="38">
        <v>2.0</v>
      </c>
      <c r="P81" s="38">
        <v>2.0</v>
      </c>
      <c r="Q81" s="38">
        <v>2.0</v>
      </c>
      <c r="R81" s="33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5" customHeight="1">
      <c r="A82" s="30"/>
      <c r="B82" s="34"/>
      <c r="C82" s="26" t="s">
        <v>83</v>
      </c>
      <c r="D82" s="20"/>
      <c r="E82" s="26" t="s">
        <v>49</v>
      </c>
      <c r="F82" s="20"/>
      <c r="G82" s="29">
        <v>1.0</v>
      </c>
      <c r="H82" s="29">
        <v>1.0</v>
      </c>
      <c r="I82" s="29">
        <v>1.0</v>
      </c>
      <c r="J82" s="29">
        <v>1.0</v>
      </c>
      <c r="K82" s="29">
        <v>1.0</v>
      </c>
      <c r="L82" s="29">
        <v>1.0</v>
      </c>
      <c r="M82" s="29">
        <v>1.0</v>
      </c>
      <c r="N82" s="29">
        <v>1.0</v>
      </c>
      <c r="O82" s="38">
        <v>1.0</v>
      </c>
      <c r="P82" s="38">
        <v>1.0</v>
      </c>
      <c r="Q82" s="38">
        <v>1.0</v>
      </c>
      <c r="R82" s="33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5" customHeight="1">
      <c r="A83" s="30"/>
      <c r="B83" s="34"/>
      <c r="C83" s="26" t="s">
        <v>84</v>
      </c>
      <c r="D83" s="20"/>
      <c r="E83" s="26" t="s">
        <v>49</v>
      </c>
      <c r="F83" s="20"/>
      <c r="G83" s="29">
        <v>2.0</v>
      </c>
      <c r="H83" s="29">
        <v>2.0</v>
      </c>
      <c r="I83" s="29">
        <v>2.0</v>
      </c>
      <c r="J83" s="29">
        <v>2.0</v>
      </c>
      <c r="K83" s="29">
        <v>2.0</v>
      </c>
      <c r="L83" s="29">
        <v>2.0</v>
      </c>
      <c r="M83" s="29">
        <v>2.0</v>
      </c>
      <c r="N83" s="29">
        <v>2.0</v>
      </c>
      <c r="O83" s="38">
        <v>2.0</v>
      </c>
      <c r="P83" s="38">
        <v>2.0</v>
      </c>
      <c r="Q83" s="38">
        <v>2.0</v>
      </c>
      <c r="R83" s="33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5" customHeight="1">
      <c r="A84" s="30"/>
      <c r="B84" s="36"/>
      <c r="C84" s="26" t="s">
        <v>85</v>
      </c>
      <c r="D84" s="20"/>
      <c r="E84" s="26" t="s">
        <v>52</v>
      </c>
      <c r="F84" s="20"/>
      <c r="G84" s="29">
        <v>3.0</v>
      </c>
      <c r="H84" s="29">
        <v>3.0</v>
      </c>
      <c r="I84" s="29">
        <v>3.0</v>
      </c>
      <c r="J84" s="29">
        <v>3.0</v>
      </c>
      <c r="K84" s="29">
        <v>3.0</v>
      </c>
      <c r="L84" s="29">
        <v>3.0</v>
      </c>
      <c r="M84" s="29">
        <v>3.0</v>
      </c>
      <c r="N84" s="29">
        <v>3.0</v>
      </c>
      <c r="O84" s="38">
        <v>3.0</v>
      </c>
      <c r="P84" s="38">
        <v>3.0</v>
      </c>
      <c r="Q84" s="38">
        <v>3.0</v>
      </c>
      <c r="R84" s="33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5" customHeight="1">
      <c r="A85" s="30"/>
      <c r="B85" s="32" t="s">
        <v>86</v>
      </c>
      <c r="C85" s="26" t="s">
        <v>87</v>
      </c>
      <c r="D85" s="20"/>
      <c r="E85" s="26" t="s">
        <v>27</v>
      </c>
      <c r="F85" s="20"/>
      <c r="G85" s="29">
        <v>2.0</v>
      </c>
      <c r="H85" s="29">
        <v>2.0</v>
      </c>
      <c r="I85" s="29">
        <v>2.0</v>
      </c>
      <c r="J85" s="29">
        <v>2.0</v>
      </c>
      <c r="K85" s="29">
        <v>2.0</v>
      </c>
      <c r="L85" s="29">
        <v>2.0</v>
      </c>
      <c r="M85" s="29">
        <v>2.0</v>
      </c>
      <c r="N85" s="29">
        <v>2.0</v>
      </c>
      <c r="O85" s="38">
        <v>2.0</v>
      </c>
      <c r="P85" s="38">
        <v>2.0</v>
      </c>
      <c r="Q85" s="38">
        <v>2.0</v>
      </c>
      <c r="R85" s="38">
        <v>2.0</v>
      </c>
      <c r="S85" s="33">
        <v>0.0</v>
      </c>
      <c r="T85" s="38">
        <v>0.0</v>
      </c>
      <c r="U85" s="38">
        <v>0.0</v>
      </c>
      <c r="V85" s="38">
        <v>0.0</v>
      </c>
      <c r="W85" s="38">
        <v>0.0</v>
      </c>
      <c r="X85" s="38">
        <v>0.0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6.5" customHeight="1">
      <c r="A86" s="30"/>
      <c r="B86" s="34"/>
      <c r="C86" s="26" t="s">
        <v>88</v>
      </c>
      <c r="D86" s="20"/>
      <c r="E86" s="26" t="s">
        <v>27</v>
      </c>
      <c r="F86" s="20"/>
      <c r="G86" s="29">
        <v>1.0</v>
      </c>
      <c r="H86" s="29">
        <v>1.0</v>
      </c>
      <c r="I86" s="29">
        <v>1.0</v>
      </c>
      <c r="J86" s="29">
        <v>1.0</v>
      </c>
      <c r="K86" s="29">
        <v>1.0</v>
      </c>
      <c r="L86" s="29">
        <v>1.0</v>
      </c>
      <c r="M86" s="29">
        <v>1.0</v>
      </c>
      <c r="N86" s="29">
        <v>1.0</v>
      </c>
      <c r="O86" s="38">
        <v>1.0</v>
      </c>
      <c r="P86" s="38">
        <v>1.0</v>
      </c>
      <c r="Q86" s="38">
        <v>1.0</v>
      </c>
      <c r="R86" s="38">
        <v>1.0</v>
      </c>
      <c r="S86" s="33">
        <v>0.0</v>
      </c>
      <c r="T86" s="38">
        <v>0.0</v>
      </c>
      <c r="U86" s="38">
        <v>0.0</v>
      </c>
      <c r="V86" s="38">
        <v>0.0</v>
      </c>
      <c r="W86" s="38">
        <v>0.0</v>
      </c>
      <c r="X86" s="38">
        <v>0.0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6.5" customHeight="1">
      <c r="A87" s="30"/>
      <c r="B87" s="34"/>
      <c r="C87" s="26" t="s">
        <v>89</v>
      </c>
      <c r="D87" s="20"/>
      <c r="E87" s="26" t="s">
        <v>27</v>
      </c>
      <c r="F87" s="20"/>
      <c r="G87" s="29">
        <v>1.0</v>
      </c>
      <c r="H87" s="29">
        <v>3.0</v>
      </c>
      <c r="I87" s="29">
        <v>3.0</v>
      </c>
      <c r="J87" s="29">
        <v>3.0</v>
      </c>
      <c r="K87" s="29">
        <v>3.0</v>
      </c>
      <c r="L87" s="29">
        <v>3.0</v>
      </c>
      <c r="M87" s="29">
        <v>3.0</v>
      </c>
      <c r="N87" s="29">
        <v>3.0</v>
      </c>
      <c r="O87" s="38">
        <v>3.0</v>
      </c>
      <c r="P87" s="38">
        <v>3.0</v>
      </c>
      <c r="Q87" s="38">
        <v>3.0</v>
      </c>
      <c r="R87" s="38">
        <v>3.0</v>
      </c>
      <c r="S87" s="33">
        <v>0.0</v>
      </c>
      <c r="T87" s="38">
        <v>0.0</v>
      </c>
      <c r="U87" s="38">
        <v>0.0</v>
      </c>
      <c r="V87" s="38">
        <v>0.0</v>
      </c>
      <c r="W87" s="38">
        <v>0.0</v>
      </c>
      <c r="X87" s="38">
        <v>0.0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6.5" customHeight="1">
      <c r="A88" s="30"/>
      <c r="B88" s="34"/>
      <c r="C88" s="26" t="s">
        <v>90</v>
      </c>
      <c r="D88" s="20"/>
      <c r="E88" s="26" t="s">
        <v>44</v>
      </c>
      <c r="F88" s="20"/>
      <c r="G88" s="29">
        <v>1.0</v>
      </c>
      <c r="H88" s="29">
        <v>1.0</v>
      </c>
      <c r="I88" s="29">
        <v>1.0</v>
      </c>
      <c r="J88" s="29">
        <v>1.0</v>
      </c>
      <c r="K88" s="29">
        <v>1.0</v>
      </c>
      <c r="L88" s="29">
        <v>1.0</v>
      </c>
      <c r="M88" s="29">
        <v>1.0</v>
      </c>
      <c r="N88" s="29">
        <v>1.0</v>
      </c>
      <c r="O88" s="38">
        <v>1.0</v>
      </c>
      <c r="P88" s="38">
        <v>1.0</v>
      </c>
      <c r="Q88" s="38">
        <v>1.0</v>
      </c>
      <c r="R88" s="38">
        <v>1.0</v>
      </c>
      <c r="S88" s="33">
        <v>0.0</v>
      </c>
      <c r="T88" s="38">
        <v>0.0</v>
      </c>
      <c r="U88" s="38">
        <v>0.0</v>
      </c>
      <c r="V88" s="38">
        <v>0.0</v>
      </c>
      <c r="W88" s="38">
        <v>0.0</v>
      </c>
      <c r="X88" s="38">
        <v>0.0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6.5" customHeight="1">
      <c r="A89" s="30"/>
      <c r="B89" s="34"/>
      <c r="C89" s="26" t="s">
        <v>91</v>
      </c>
      <c r="D89" s="20"/>
      <c r="E89" s="26" t="s">
        <v>45</v>
      </c>
      <c r="F89" s="20"/>
      <c r="G89" s="29">
        <v>3.0</v>
      </c>
      <c r="H89" s="29">
        <v>3.0</v>
      </c>
      <c r="I89" s="29">
        <v>3.0</v>
      </c>
      <c r="J89" s="29">
        <v>3.0</v>
      </c>
      <c r="K89" s="29">
        <v>3.0</v>
      </c>
      <c r="L89" s="29">
        <v>3.0</v>
      </c>
      <c r="M89" s="29">
        <v>3.0</v>
      </c>
      <c r="N89" s="29">
        <v>3.0</v>
      </c>
      <c r="O89" s="38">
        <v>3.0</v>
      </c>
      <c r="P89" s="38">
        <v>3.0</v>
      </c>
      <c r="Q89" s="38">
        <v>3.0</v>
      </c>
      <c r="R89" s="38">
        <v>3.0</v>
      </c>
      <c r="S89" s="33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16.5" customHeight="1">
      <c r="A90" s="30"/>
      <c r="B90" s="34"/>
      <c r="C90" s="26" t="s">
        <v>92</v>
      </c>
      <c r="D90" s="20"/>
      <c r="E90" s="26" t="s">
        <v>44</v>
      </c>
      <c r="F90" s="20"/>
      <c r="G90" s="29">
        <v>1.0</v>
      </c>
      <c r="H90" s="29">
        <v>1.0</v>
      </c>
      <c r="I90" s="29">
        <v>1.0</v>
      </c>
      <c r="J90" s="29">
        <v>1.0</v>
      </c>
      <c r="K90" s="29">
        <v>1.0</v>
      </c>
      <c r="L90" s="29">
        <v>1.0</v>
      </c>
      <c r="M90" s="29">
        <v>1.0</v>
      </c>
      <c r="N90" s="29">
        <v>1.0</v>
      </c>
      <c r="O90" s="38">
        <v>1.0</v>
      </c>
      <c r="P90" s="38">
        <v>1.0</v>
      </c>
      <c r="Q90" s="38">
        <v>1.0</v>
      </c>
      <c r="R90" s="38">
        <v>1.0</v>
      </c>
      <c r="S90" s="33">
        <v>0.0</v>
      </c>
      <c r="T90" s="38">
        <v>0.0</v>
      </c>
      <c r="U90" s="38">
        <v>0.0</v>
      </c>
      <c r="V90" s="38">
        <v>0.0</v>
      </c>
      <c r="W90" s="38">
        <v>0.0</v>
      </c>
      <c r="X90" s="38">
        <v>0.0</v>
      </c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5" customHeight="1">
      <c r="A91" s="30"/>
      <c r="B91" s="34"/>
      <c r="C91" s="26" t="s">
        <v>93</v>
      </c>
      <c r="D91" s="20"/>
      <c r="E91" s="26" t="s">
        <v>44</v>
      </c>
      <c r="F91" s="20"/>
      <c r="G91" s="29">
        <v>1.0</v>
      </c>
      <c r="H91" s="29">
        <v>1.0</v>
      </c>
      <c r="I91" s="29">
        <v>1.0</v>
      </c>
      <c r="J91" s="29">
        <v>1.0</v>
      </c>
      <c r="K91" s="29">
        <v>1.0</v>
      </c>
      <c r="L91" s="29">
        <v>1.0</v>
      </c>
      <c r="M91" s="29">
        <v>1.0</v>
      </c>
      <c r="N91" s="29">
        <v>1.0</v>
      </c>
      <c r="O91" s="38">
        <v>1.0</v>
      </c>
      <c r="P91" s="38">
        <v>1.0</v>
      </c>
      <c r="Q91" s="38">
        <v>1.0</v>
      </c>
      <c r="R91" s="38">
        <v>1.0</v>
      </c>
      <c r="S91" s="33">
        <v>0.0</v>
      </c>
      <c r="T91" s="38">
        <v>0.0</v>
      </c>
      <c r="U91" s="38">
        <v>0.0</v>
      </c>
      <c r="V91" s="38">
        <v>0.0</v>
      </c>
      <c r="W91" s="38">
        <v>0.0</v>
      </c>
      <c r="X91" s="38">
        <v>0.0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5" customHeight="1">
      <c r="A92" s="30"/>
      <c r="B92" s="34"/>
      <c r="C92" s="26" t="s">
        <v>94</v>
      </c>
      <c r="D92" s="20"/>
      <c r="E92" s="26" t="s">
        <v>27</v>
      </c>
      <c r="F92" s="20"/>
      <c r="G92" s="29">
        <v>2.0</v>
      </c>
      <c r="H92" s="29">
        <v>3.0</v>
      </c>
      <c r="I92" s="29">
        <v>3.0</v>
      </c>
      <c r="J92" s="29">
        <v>3.0</v>
      </c>
      <c r="K92" s="29">
        <v>3.0</v>
      </c>
      <c r="L92" s="29">
        <v>3.0</v>
      </c>
      <c r="M92" s="29">
        <v>3.0</v>
      </c>
      <c r="N92" s="29">
        <v>3.0</v>
      </c>
      <c r="O92" s="38">
        <v>3.0</v>
      </c>
      <c r="P92" s="38">
        <v>3.0</v>
      </c>
      <c r="Q92" s="38">
        <v>3.0</v>
      </c>
      <c r="R92" s="38">
        <v>3.0</v>
      </c>
      <c r="S92" s="33">
        <v>0.0</v>
      </c>
      <c r="T92" s="38">
        <v>0.0</v>
      </c>
      <c r="U92" s="38">
        <v>0.0</v>
      </c>
      <c r="V92" s="38">
        <v>0.0</v>
      </c>
      <c r="W92" s="38">
        <v>0.0</v>
      </c>
      <c r="X92" s="38">
        <v>0.0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5" customHeight="1">
      <c r="A93" s="30"/>
      <c r="B93" s="34"/>
      <c r="C93" s="28"/>
      <c r="D93" s="20"/>
      <c r="E93" s="28"/>
      <c r="F93" s="20"/>
      <c r="G93" s="29"/>
      <c r="H93" s="29"/>
      <c r="I93" s="29"/>
      <c r="J93" s="29"/>
      <c r="K93" s="29"/>
      <c r="L93" s="29"/>
      <c r="M93" s="29"/>
      <c r="N93" s="29"/>
      <c r="O93" s="38"/>
      <c r="P93" s="38"/>
      <c r="Q93" s="38"/>
      <c r="R93" s="38"/>
      <c r="S93" s="37">
        <v>1.0</v>
      </c>
      <c r="T93" s="38"/>
      <c r="U93" s="38"/>
      <c r="V93" s="38"/>
      <c r="W93" s="38"/>
      <c r="X93" s="38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5" customHeight="1">
      <c r="A94" s="30"/>
      <c r="B94" s="34"/>
      <c r="C94" s="26" t="s">
        <v>95</v>
      </c>
      <c r="D94" s="20"/>
      <c r="E94" s="26" t="s">
        <v>46</v>
      </c>
      <c r="F94" s="20"/>
      <c r="G94" s="29">
        <v>1.0</v>
      </c>
      <c r="H94" s="29">
        <v>1.0</v>
      </c>
      <c r="I94" s="29">
        <v>1.0</v>
      </c>
      <c r="J94" s="29">
        <v>1.0</v>
      </c>
      <c r="K94" s="29">
        <v>1.0</v>
      </c>
      <c r="L94" s="29">
        <v>1.0</v>
      </c>
      <c r="M94" s="29">
        <v>1.0</v>
      </c>
      <c r="N94" s="29">
        <v>1.0</v>
      </c>
      <c r="O94" s="38">
        <v>1.0</v>
      </c>
      <c r="P94" s="38">
        <v>1.0</v>
      </c>
      <c r="Q94" s="38">
        <v>1.0</v>
      </c>
      <c r="R94" s="38">
        <v>1.0</v>
      </c>
      <c r="S94" s="33">
        <v>0.0</v>
      </c>
      <c r="T94" s="38">
        <v>0.0</v>
      </c>
      <c r="U94" s="38">
        <v>0.0</v>
      </c>
      <c r="V94" s="38">
        <v>0.0</v>
      </c>
      <c r="W94" s="38">
        <v>0.0</v>
      </c>
      <c r="X94" s="38">
        <v>0.0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5" customHeight="1">
      <c r="A95" s="30"/>
      <c r="B95" s="34"/>
      <c r="C95" s="26" t="s">
        <v>96</v>
      </c>
      <c r="D95" s="20"/>
      <c r="E95" s="26" t="s">
        <v>44</v>
      </c>
      <c r="F95" s="20"/>
      <c r="G95" s="29">
        <v>1.0</v>
      </c>
      <c r="H95" s="29">
        <v>1.0</v>
      </c>
      <c r="I95" s="29">
        <v>1.0</v>
      </c>
      <c r="J95" s="29">
        <v>1.0</v>
      </c>
      <c r="K95" s="29">
        <v>1.0</v>
      </c>
      <c r="L95" s="29">
        <v>1.0</v>
      </c>
      <c r="M95" s="29">
        <v>1.0</v>
      </c>
      <c r="N95" s="29">
        <v>1.0</v>
      </c>
      <c r="O95" s="38">
        <v>1.0</v>
      </c>
      <c r="P95" s="38">
        <v>1.0</v>
      </c>
      <c r="Q95" s="38">
        <v>1.0</v>
      </c>
      <c r="R95" s="38">
        <v>1.0</v>
      </c>
      <c r="S95" s="33">
        <v>0.0</v>
      </c>
      <c r="T95" s="38">
        <v>0.0</v>
      </c>
      <c r="U95" s="38">
        <v>0.0</v>
      </c>
      <c r="V95" s="38">
        <v>0.0</v>
      </c>
      <c r="W95" s="38">
        <v>0.0</v>
      </c>
      <c r="X95" s="38">
        <v>0.0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5" customHeight="1">
      <c r="A96" s="30"/>
      <c r="B96" s="34"/>
      <c r="C96" s="40" t="s">
        <v>97</v>
      </c>
      <c r="D96" s="20"/>
      <c r="E96" s="26" t="s">
        <v>45</v>
      </c>
      <c r="F96" s="20"/>
      <c r="G96" s="29">
        <v>2.0</v>
      </c>
      <c r="H96" s="29">
        <v>2.0</v>
      </c>
      <c r="I96" s="29">
        <v>2.0</v>
      </c>
      <c r="J96" s="29">
        <v>2.0</v>
      </c>
      <c r="K96" s="29">
        <v>2.0</v>
      </c>
      <c r="L96" s="29">
        <v>2.0</v>
      </c>
      <c r="M96" s="29">
        <v>2.0</v>
      </c>
      <c r="N96" s="29">
        <v>2.0</v>
      </c>
      <c r="O96" s="38">
        <v>2.0</v>
      </c>
      <c r="P96" s="38">
        <v>2.0</v>
      </c>
      <c r="Q96" s="38">
        <v>2.0</v>
      </c>
      <c r="R96" s="38">
        <v>2.0</v>
      </c>
      <c r="S96" s="33">
        <v>0.0</v>
      </c>
      <c r="T96" s="38">
        <v>0.0</v>
      </c>
      <c r="U96" s="38">
        <v>0.0</v>
      </c>
      <c r="V96" s="38">
        <v>0.0</v>
      </c>
      <c r="W96" s="38">
        <v>0.0</v>
      </c>
      <c r="X96" s="38">
        <v>0.0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5" customHeight="1">
      <c r="A97" s="30"/>
      <c r="B97" s="36"/>
      <c r="C97" s="40" t="s">
        <v>98</v>
      </c>
      <c r="D97" s="20"/>
      <c r="E97" s="26" t="s">
        <v>44</v>
      </c>
      <c r="F97" s="20"/>
      <c r="G97" s="29">
        <v>1.0</v>
      </c>
      <c r="H97" s="29">
        <v>1.0</v>
      </c>
      <c r="I97" s="29">
        <v>1.0</v>
      </c>
      <c r="J97" s="29">
        <v>1.0</v>
      </c>
      <c r="K97" s="29">
        <v>1.0</v>
      </c>
      <c r="L97" s="29">
        <v>1.0</v>
      </c>
      <c r="M97" s="29">
        <v>1.0</v>
      </c>
      <c r="N97" s="29">
        <v>1.0</v>
      </c>
      <c r="O97" s="38">
        <v>1.0</v>
      </c>
      <c r="P97" s="38">
        <v>1.0</v>
      </c>
      <c r="Q97" s="38">
        <v>1.0</v>
      </c>
      <c r="R97" s="38">
        <v>1.0</v>
      </c>
      <c r="S97" s="33">
        <v>0.0</v>
      </c>
      <c r="T97" s="38">
        <v>0.0</v>
      </c>
      <c r="U97" s="38">
        <v>0.0</v>
      </c>
      <c r="V97" s="38">
        <v>0.0</v>
      </c>
      <c r="W97" s="38">
        <v>0.0</v>
      </c>
      <c r="X97" s="38">
        <v>0.0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5" customHeight="1">
      <c r="A98" s="30"/>
      <c r="B98" s="41" t="s">
        <v>99</v>
      </c>
      <c r="C98" s="26" t="s">
        <v>100</v>
      </c>
      <c r="D98" s="20"/>
      <c r="E98" s="26" t="s">
        <v>27</v>
      </c>
      <c r="F98" s="20"/>
      <c r="G98" s="29">
        <v>1.0</v>
      </c>
      <c r="H98" s="29">
        <v>1.0</v>
      </c>
      <c r="I98" s="29">
        <v>1.0</v>
      </c>
      <c r="J98" s="29">
        <v>1.0</v>
      </c>
      <c r="K98" s="29">
        <v>1.0</v>
      </c>
      <c r="L98" s="29">
        <v>1.0</v>
      </c>
      <c r="M98" s="29">
        <v>1.0</v>
      </c>
      <c r="N98" s="29">
        <v>1.0</v>
      </c>
      <c r="O98" s="38">
        <v>1.0</v>
      </c>
      <c r="P98" s="38">
        <v>1.0</v>
      </c>
      <c r="Q98" s="38">
        <v>1.0</v>
      </c>
      <c r="R98" s="38">
        <v>1.0</v>
      </c>
      <c r="S98" s="38">
        <v>1.0</v>
      </c>
      <c r="T98" s="33">
        <v>0.0</v>
      </c>
      <c r="U98" s="38">
        <v>0.0</v>
      </c>
      <c r="V98" s="38">
        <v>0.0</v>
      </c>
      <c r="W98" s="38">
        <v>0.0</v>
      </c>
      <c r="X98" s="38">
        <v>0.0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5" customHeight="1">
      <c r="A99" s="30"/>
      <c r="B99" s="34"/>
      <c r="C99" s="26" t="s">
        <v>101</v>
      </c>
      <c r="D99" s="20"/>
      <c r="E99" s="26" t="s">
        <v>27</v>
      </c>
      <c r="F99" s="20"/>
      <c r="G99" s="29">
        <v>1.0</v>
      </c>
      <c r="H99" s="29">
        <v>1.0</v>
      </c>
      <c r="I99" s="29">
        <v>1.0</v>
      </c>
      <c r="J99" s="29">
        <v>1.0</v>
      </c>
      <c r="K99" s="29">
        <v>1.0</v>
      </c>
      <c r="L99" s="29">
        <v>1.0</v>
      </c>
      <c r="M99" s="29">
        <v>1.0</v>
      </c>
      <c r="N99" s="29">
        <v>1.0</v>
      </c>
      <c r="O99" s="38">
        <v>1.0</v>
      </c>
      <c r="P99" s="38">
        <v>1.0</v>
      </c>
      <c r="Q99" s="38">
        <v>1.0</v>
      </c>
      <c r="R99" s="38">
        <v>1.0</v>
      </c>
      <c r="S99" s="38">
        <v>1.0</v>
      </c>
      <c r="T99" s="33">
        <v>0.0</v>
      </c>
      <c r="U99" s="38">
        <v>0.0</v>
      </c>
      <c r="V99" s="38">
        <v>0.0</v>
      </c>
      <c r="W99" s="38">
        <v>0.0</v>
      </c>
      <c r="X99" s="38">
        <v>0.0</v>
      </c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5" customHeight="1">
      <c r="A100" s="30"/>
      <c r="B100" s="34"/>
      <c r="C100" s="26" t="s">
        <v>102</v>
      </c>
      <c r="D100" s="20"/>
      <c r="E100" s="26" t="s">
        <v>27</v>
      </c>
      <c r="F100" s="20"/>
      <c r="G100" s="29">
        <v>2.0</v>
      </c>
      <c r="H100" s="29">
        <v>2.0</v>
      </c>
      <c r="I100" s="29">
        <v>2.0</v>
      </c>
      <c r="J100" s="29">
        <v>2.0</v>
      </c>
      <c r="K100" s="29">
        <v>2.0</v>
      </c>
      <c r="L100" s="29">
        <v>2.0</v>
      </c>
      <c r="M100" s="29">
        <v>2.0</v>
      </c>
      <c r="N100" s="29">
        <v>2.0</v>
      </c>
      <c r="O100" s="38">
        <v>2.0</v>
      </c>
      <c r="P100" s="38">
        <v>2.0</v>
      </c>
      <c r="Q100" s="38">
        <v>2.0</v>
      </c>
      <c r="R100" s="38">
        <v>2.0</v>
      </c>
      <c r="S100" s="38">
        <v>2.0</v>
      </c>
      <c r="T100" s="33">
        <v>0.0</v>
      </c>
      <c r="U100" s="38">
        <v>0.0</v>
      </c>
      <c r="V100" s="38">
        <v>0.0</v>
      </c>
      <c r="W100" s="38">
        <v>0.0</v>
      </c>
      <c r="X100" s="38">
        <v>0.0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5" customHeight="1">
      <c r="A101" s="30"/>
      <c r="B101" s="34"/>
      <c r="C101" s="26" t="s">
        <v>103</v>
      </c>
      <c r="D101" s="20"/>
      <c r="E101" s="26" t="s">
        <v>104</v>
      </c>
      <c r="F101" s="20"/>
      <c r="G101" s="29">
        <v>1.0</v>
      </c>
      <c r="H101" s="29">
        <v>1.0</v>
      </c>
      <c r="I101" s="29">
        <v>1.0</v>
      </c>
      <c r="J101" s="29">
        <v>1.0</v>
      </c>
      <c r="K101" s="29">
        <v>1.0</v>
      </c>
      <c r="L101" s="29">
        <v>1.0</v>
      </c>
      <c r="M101" s="29">
        <v>1.0</v>
      </c>
      <c r="N101" s="29">
        <v>1.0</v>
      </c>
      <c r="O101" s="38">
        <v>1.0</v>
      </c>
      <c r="P101" s="38">
        <v>1.0</v>
      </c>
      <c r="Q101" s="38">
        <v>1.0</v>
      </c>
      <c r="R101" s="38">
        <v>1.0</v>
      </c>
      <c r="S101" s="38">
        <v>1.0</v>
      </c>
      <c r="T101" s="33">
        <v>0.0</v>
      </c>
      <c r="U101" s="38">
        <v>0.0</v>
      </c>
      <c r="V101" s="38">
        <v>0.0</v>
      </c>
      <c r="W101" s="38">
        <v>0.0</v>
      </c>
      <c r="X101" s="38">
        <v>0.0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5" customHeight="1">
      <c r="A102" s="30"/>
      <c r="B102" s="34"/>
      <c r="C102" s="26" t="s">
        <v>105</v>
      </c>
      <c r="D102" s="20"/>
      <c r="E102" s="26" t="s">
        <v>45</v>
      </c>
      <c r="F102" s="20"/>
      <c r="G102" s="29">
        <v>2.0</v>
      </c>
      <c r="H102" s="29">
        <v>2.0</v>
      </c>
      <c r="I102" s="29">
        <v>2.0</v>
      </c>
      <c r="J102" s="29">
        <v>2.0</v>
      </c>
      <c r="K102" s="29">
        <v>2.0</v>
      </c>
      <c r="L102" s="29">
        <v>2.0</v>
      </c>
      <c r="M102" s="29">
        <v>2.0</v>
      </c>
      <c r="N102" s="29">
        <v>2.0</v>
      </c>
      <c r="O102" s="38">
        <v>2.0</v>
      </c>
      <c r="P102" s="38">
        <v>2.0</v>
      </c>
      <c r="Q102" s="38">
        <v>2.0</v>
      </c>
      <c r="R102" s="38">
        <v>2.0</v>
      </c>
      <c r="S102" s="38">
        <v>2.0</v>
      </c>
      <c r="T102" s="33">
        <v>0.0</v>
      </c>
      <c r="U102" s="38">
        <v>0.0</v>
      </c>
      <c r="V102" s="38">
        <v>0.0</v>
      </c>
      <c r="W102" s="38">
        <v>0.0</v>
      </c>
      <c r="X102" s="38">
        <v>0.0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6.5" customHeight="1">
      <c r="A103" s="30"/>
      <c r="B103" s="34"/>
      <c r="C103" s="26" t="s">
        <v>106</v>
      </c>
      <c r="D103" s="20"/>
      <c r="E103" s="26" t="s">
        <v>49</v>
      </c>
      <c r="F103" s="20"/>
      <c r="G103" s="29">
        <v>1.0</v>
      </c>
      <c r="H103" s="29">
        <v>1.0</v>
      </c>
      <c r="I103" s="29">
        <v>1.0</v>
      </c>
      <c r="J103" s="29">
        <v>1.0</v>
      </c>
      <c r="K103" s="29">
        <v>1.0</v>
      </c>
      <c r="L103" s="29">
        <v>1.0</v>
      </c>
      <c r="M103" s="29">
        <v>1.0</v>
      </c>
      <c r="N103" s="29">
        <v>1.0</v>
      </c>
      <c r="O103" s="29">
        <v>1.0</v>
      </c>
      <c r="P103" s="29">
        <v>1.0</v>
      </c>
      <c r="Q103" s="29">
        <v>1.0</v>
      </c>
      <c r="R103" s="29">
        <v>1.0</v>
      </c>
      <c r="S103" s="29">
        <v>1.0</v>
      </c>
      <c r="T103" s="33">
        <v>0.0</v>
      </c>
      <c r="U103" s="38">
        <v>0.0</v>
      </c>
      <c r="V103" s="38">
        <v>0.0</v>
      </c>
      <c r="W103" s="38">
        <v>0.0</v>
      </c>
      <c r="X103" s="29">
        <v>0.0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6.5" customHeight="1">
      <c r="A104" s="30"/>
      <c r="B104" s="34"/>
      <c r="C104" s="26" t="s">
        <v>107</v>
      </c>
      <c r="D104" s="20"/>
      <c r="E104" s="26" t="s">
        <v>104</v>
      </c>
      <c r="F104" s="20"/>
      <c r="G104" s="29">
        <v>1.0</v>
      </c>
      <c r="H104" s="29">
        <v>1.0</v>
      </c>
      <c r="I104" s="29">
        <v>1.0</v>
      </c>
      <c r="J104" s="29">
        <v>1.0</v>
      </c>
      <c r="K104" s="29">
        <v>1.0</v>
      </c>
      <c r="L104" s="29">
        <v>1.0</v>
      </c>
      <c r="M104" s="29">
        <v>1.0</v>
      </c>
      <c r="N104" s="29">
        <v>1.0</v>
      </c>
      <c r="O104" s="29">
        <v>1.0</v>
      </c>
      <c r="P104" s="29">
        <v>1.0</v>
      </c>
      <c r="Q104" s="29">
        <v>1.0</v>
      </c>
      <c r="R104" s="29">
        <v>1.0</v>
      </c>
      <c r="S104" s="29">
        <v>1.0</v>
      </c>
      <c r="T104" s="33">
        <v>0.0</v>
      </c>
      <c r="U104" s="38">
        <v>0.0</v>
      </c>
      <c r="V104" s="38">
        <v>0.0</v>
      </c>
      <c r="W104" s="38">
        <v>0.0</v>
      </c>
      <c r="X104" s="29">
        <v>0.0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6.5" customHeight="1">
      <c r="A105" s="30"/>
      <c r="B105" s="34"/>
      <c r="C105" s="26" t="s">
        <v>108</v>
      </c>
      <c r="D105" s="20"/>
      <c r="E105" s="26" t="s">
        <v>27</v>
      </c>
      <c r="F105" s="20"/>
      <c r="G105" s="29">
        <v>1.0</v>
      </c>
      <c r="H105" s="29">
        <v>1.0</v>
      </c>
      <c r="I105" s="29">
        <v>1.0</v>
      </c>
      <c r="J105" s="29">
        <v>1.0</v>
      </c>
      <c r="K105" s="29">
        <v>1.0</v>
      </c>
      <c r="L105" s="29">
        <v>1.0</v>
      </c>
      <c r="M105" s="29">
        <v>1.0</v>
      </c>
      <c r="N105" s="29">
        <v>1.0</v>
      </c>
      <c r="O105" s="29">
        <v>1.0</v>
      </c>
      <c r="P105" s="29">
        <v>1.0</v>
      </c>
      <c r="Q105" s="29">
        <v>1.0</v>
      </c>
      <c r="R105" s="29">
        <v>1.0</v>
      </c>
      <c r="S105" s="29">
        <v>1.0</v>
      </c>
      <c r="T105" s="33">
        <v>0.0</v>
      </c>
      <c r="U105" s="38">
        <v>0.0</v>
      </c>
      <c r="V105" s="38">
        <v>0.0</v>
      </c>
      <c r="W105" s="38">
        <v>0.0</v>
      </c>
      <c r="X105" s="29">
        <v>0.0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6.5" customHeight="1">
      <c r="A106" s="30"/>
      <c r="B106" s="34"/>
      <c r="C106" s="26" t="s">
        <v>109</v>
      </c>
      <c r="D106" s="20"/>
      <c r="E106" s="26" t="s">
        <v>46</v>
      </c>
      <c r="F106" s="20"/>
      <c r="G106" s="29">
        <v>1.0</v>
      </c>
      <c r="H106" s="29">
        <v>1.0</v>
      </c>
      <c r="I106" s="29">
        <v>1.0</v>
      </c>
      <c r="J106" s="29">
        <v>1.0</v>
      </c>
      <c r="K106" s="29">
        <v>1.0</v>
      </c>
      <c r="L106" s="29">
        <v>1.0</v>
      </c>
      <c r="M106" s="29">
        <v>1.0</v>
      </c>
      <c r="N106" s="29">
        <v>1.0</v>
      </c>
      <c r="O106" s="29">
        <v>1.0</v>
      </c>
      <c r="P106" s="29">
        <v>1.0</v>
      </c>
      <c r="Q106" s="29">
        <v>1.0</v>
      </c>
      <c r="R106" s="29">
        <v>1.0</v>
      </c>
      <c r="S106" s="29">
        <v>1.0</v>
      </c>
      <c r="T106" s="33">
        <v>0.0</v>
      </c>
      <c r="U106" s="38">
        <v>0.0</v>
      </c>
      <c r="V106" s="38">
        <v>0.0</v>
      </c>
      <c r="W106" s="38">
        <v>0.0</v>
      </c>
      <c r="X106" s="29">
        <v>0.0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6.5" customHeight="1">
      <c r="A107" s="30"/>
      <c r="B107" s="34"/>
      <c r="C107" s="26" t="s">
        <v>110</v>
      </c>
      <c r="D107" s="20"/>
      <c r="E107" s="26" t="s">
        <v>46</v>
      </c>
      <c r="F107" s="20"/>
      <c r="G107" s="29">
        <v>1.0</v>
      </c>
      <c r="H107" s="29">
        <v>1.0</v>
      </c>
      <c r="I107" s="29">
        <v>1.0</v>
      </c>
      <c r="J107" s="29">
        <v>1.0</v>
      </c>
      <c r="K107" s="29">
        <v>1.0</v>
      </c>
      <c r="L107" s="29">
        <v>1.0</v>
      </c>
      <c r="M107" s="29">
        <v>1.0</v>
      </c>
      <c r="N107" s="29">
        <v>1.0</v>
      </c>
      <c r="O107" s="29">
        <v>1.0</v>
      </c>
      <c r="P107" s="29">
        <v>1.0</v>
      </c>
      <c r="Q107" s="29">
        <v>1.0</v>
      </c>
      <c r="R107" s="29">
        <v>1.0</v>
      </c>
      <c r="S107" s="29">
        <v>1.0</v>
      </c>
      <c r="T107" s="33">
        <v>0.0</v>
      </c>
      <c r="U107" s="38">
        <v>0.0</v>
      </c>
      <c r="V107" s="38">
        <v>0.0</v>
      </c>
      <c r="W107" s="38">
        <v>0.0</v>
      </c>
      <c r="X107" s="29">
        <v>0.0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6.5" customHeight="1">
      <c r="A108" s="30"/>
      <c r="B108" s="34"/>
      <c r="C108" s="26" t="s">
        <v>111</v>
      </c>
      <c r="D108" s="20"/>
      <c r="E108" s="26" t="s">
        <v>45</v>
      </c>
      <c r="F108" s="20"/>
      <c r="G108" s="29">
        <v>2.0</v>
      </c>
      <c r="H108" s="29">
        <v>2.0</v>
      </c>
      <c r="I108" s="29">
        <v>2.0</v>
      </c>
      <c r="J108" s="29">
        <v>2.0</v>
      </c>
      <c r="K108" s="29">
        <v>2.0</v>
      </c>
      <c r="L108" s="29">
        <v>2.0</v>
      </c>
      <c r="M108" s="29">
        <v>2.0</v>
      </c>
      <c r="N108" s="29">
        <v>2.0</v>
      </c>
      <c r="O108" s="29">
        <v>2.0</v>
      </c>
      <c r="P108" s="29">
        <v>2.0</v>
      </c>
      <c r="Q108" s="29">
        <v>2.0</v>
      </c>
      <c r="R108" s="29">
        <v>2.0</v>
      </c>
      <c r="S108" s="29">
        <v>2.0</v>
      </c>
      <c r="T108" s="33">
        <v>0.0</v>
      </c>
      <c r="U108" s="38">
        <v>0.0</v>
      </c>
      <c r="V108" s="38">
        <v>0.0</v>
      </c>
      <c r="W108" s="38">
        <v>0.0</v>
      </c>
      <c r="X108" s="29">
        <v>0.0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6.5" customHeight="1">
      <c r="A109" s="30"/>
      <c r="B109" s="36"/>
      <c r="C109" s="26" t="s">
        <v>112</v>
      </c>
      <c r="D109" s="20"/>
      <c r="E109" s="26" t="s">
        <v>104</v>
      </c>
      <c r="F109" s="20"/>
      <c r="G109" s="29">
        <v>1.0</v>
      </c>
      <c r="H109" s="29">
        <v>1.0</v>
      </c>
      <c r="I109" s="29">
        <v>1.0</v>
      </c>
      <c r="J109" s="29">
        <v>1.0</v>
      </c>
      <c r="K109" s="29">
        <v>1.0</v>
      </c>
      <c r="L109" s="29">
        <v>1.0</v>
      </c>
      <c r="M109" s="29">
        <v>1.0</v>
      </c>
      <c r="N109" s="29">
        <v>1.0</v>
      </c>
      <c r="O109" s="29">
        <v>1.0</v>
      </c>
      <c r="P109" s="29">
        <v>1.0</v>
      </c>
      <c r="Q109" s="29">
        <v>1.0</v>
      </c>
      <c r="R109" s="29">
        <v>1.0</v>
      </c>
      <c r="S109" s="29">
        <v>1.0</v>
      </c>
      <c r="T109" s="33">
        <v>0.0</v>
      </c>
      <c r="U109" s="38">
        <v>0.0</v>
      </c>
      <c r="V109" s="38">
        <v>0.0</v>
      </c>
      <c r="W109" s="38">
        <v>0.0</v>
      </c>
      <c r="X109" s="29">
        <v>0.0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6.5" customHeight="1">
      <c r="A110" s="30"/>
      <c r="B110" s="41" t="s">
        <v>113</v>
      </c>
      <c r="C110" s="26" t="s">
        <v>114</v>
      </c>
      <c r="D110" s="20"/>
      <c r="E110" s="26" t="s">
        <v>44</v>
      </c>
      <c r="F110" s="20"/>
      <c r="G110" s="29">
        <v>0.5</v>
      </c>
      <c r="H110" s="29">
        <v>0.5</v>
      </c>
      <c r="I110" s="29">
        <v>0.5</v>
      </c>
      <c r="J110" s="29">
        <v>0.5</v>
      </c>
      <c r="K110" s="29">
        <v>0.5</v>
      </c>
      <c r="L110" s="29">
        <v>0.5</v>
      </c>
      <c r="M110" s="29">
        <v>0.5</v>
      </c>
      <c r="N110" s="29">
        <v>0.5</v>
      </c>
      <c r="O110" s="29">
        <v>0.5</v>
      </c>
      <c r="P110" s="29">
        <v>0.5</v>
      </c>
      <c r="Q110" s="29">
        <v>0.5</v>
      </c>
      <c r="R110" s="29">
        <v>0.5</v>
      </c>
      <c r="S110" s="29">
        <v>0.5</v>
      </c>
      <c r="T110" s="29">
        <v>0.5</v>
      </c>
      <c r="U110" s="33">
        <v>0.0</v>
      </c>
      <c r="V110" s="29">
        <v>0.0</v>
      </c>
      <c r="W110" s="29">
        <v>0.0</v>
      </c>
      <c r="X110" s="29">
        <v>0.0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6.5" customHeight="1">
      <c r="A111" s="30"/>
      <c r="B111" s="34"/>
      <c r="C111" s="26" t="s">
        <v>115</v>
      </c>
      <c r="D111" s="20"/>
      <c r="E111" s="26" t="s">
        <v>44</v>
      </c>
      <c r="F111" s="20"/>
      <c r="G111" s="29">
        <v>0.5</v>
      </c>
      <c r="H111" s="29">
        <v>0.5</v>
      </c>
      <c r="I111" s="29">
        <v>0.5</v>
      </c>
      <c r="J111" s="29">
        <v>0.5</v>
      </c>
      <c r="K111" s="29">
        <v>0.5</v>
      </c>
      <c r="L111" s="29">
        <v>0.5</v>
      </c>
      <c r="M111" s="29">
        <v>0.5</v>
      </c>
      <c r="N111" s="29">
        <v>0.5</v>
      </c>
      <c r="O111" s="29">
        <v>0.5</v>
      </c>
      <c r="P111" s="29">
        <v>0.5</v>
      </c>
      <c r="Q111" s="29">
        <v>0.5</v>
      </c>
      <c r="R111" s="29">
        <v>0.5</v>
      </c>
      <c r="S111" s="29">
        <v>0.5</v>
      </c>
      <c r="T111" s="29">
        <v>0.5</v>
      </c>
      <c r="U111" s="33">
        <v>0.0</v>
      </c>
      <c r="V111" s="29">
        <v>0.0</v>
      </c>
      <c r="W111" s="29">
        <v>0.0</v>
      </c>
      <c r="X111" s="29">
        <v>0.0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6.5" customHeight="1">
      <c r="A112" s="30"/>
      <c r="B112" s="34"/>
      <c r="C112" s="26" t="s">
        <v>116</v>
      </c>
      <c r="D112" s="20"/>
      <c r="E112" s="26" t="s">
        <v>44</v>
      </c>
      <c r="F112" s="20"/>
      <c r="G112" s="29">
        <v>1.0</v>
      </c>
      <c r="H112" s="29">
        <v>1.0</v>
      </c>
      <c r="I112" s="29">
        <v>1.0</v>
      </c>
      <c r="J112" s="29">
        <v>1.0</v>
      </c>
      <c r="K112" s="29">
        <v>1.0</v>
      </c>
      <c r="L112" s="29">
        <v>1.0</v>
      </c>
      <c r="M112" s="29">
        <v>1.0</v>
      </c>
      <c r="N112" s="29">
        <v>1.0</v>
      </c>
      <c r="O112" s="29">
        <v>1.0</v>
      </c>
      <c r="P112" s="29">
        <v>1.0</v>
      </c>
      <c r="Q112" s="29">
        <v>1.0</v>
      </c>
      <c r="R112" s="29">
        <v>1.0</v>
      </c>
      <c r="S112" s="29">
        <v>1.0</v>
      </c>
      <c r="T112" s="29">
        <v>1.0</v>
      </c>
      <c r="U112" s="33">
        <v>0.0</v>
      </c>
      <c r="V112" s="29">
        <v>0.0</v>
      </c>
      <c r="W112" s="29">
        <v>0.0</v>
      </c>
      <c r="X112" s="29">
        <v>0.0</v>
      </c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6.5" customHeight="1">
      <c r="A113" s="30"/>
      <c r="B113" s="34"/>
      <c r="C113" s="26" t="s">
        <v>117</v>
      </c>
      <c r="D113" s="20"/>
      <c r="E113" s="26" t="s">
        <v>44</v>
      </c>
      <c r="F113" s="20"/>
      <c r="G113" s="29">
        <v>0.5</v>
      </c>
      <c r="H113" s="29">
        <v>0.5</v>
      </c>
      <c r="I113" s="29">
        <v>0.5</v>
      </c>
      <c r="J113" s="29">
        <v>0.5</v>
      </c>
      <c r="K113" s="29">
        <v>0.5</v>
      </c>
      <c r="L113" s="29">
        <v>0.5</v>
      </c>
      <c r="M113" s="29">
        <v>0.5</v>
      </c>
      <c r="N113" s="29">
        <v>0.5</v>
      </c>
      <c r="O113" s="29">
        <v>0.5</v>
      </c>
      <c r="P113" s="29">
        <v>0.5</v>
      </c>
      <c r="Q113" s="29">
        <v>0.5</v>
      </c>
      <c r="R113" s="29">
        <v>0.5</v>
      </c>
      <c r="S113" s="29">
        <v>0.5</v>
      </c>
      <c r="T113" s="29">
        <v>0.5</v>
      </c>
      <c r="U113" s="33">
        <v>0.0</v>
      </c>
      <c r="V113" s="29">
        <v>0.0</v>
      </c>
      <c r="W113" s="29">
        <v>0.0</v>
      </c>
      <c r="X113" s="29">
        <v>0.0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6.5" customHeight="1">
      <c r="A114" s="30"/>
      <c r="B114" s="34"/>
      <c r="C114" s="26" t="s">
        <v>118</v>
      </c>
      <c r="D114" s="20"/>
      <c r="E114" s="26" t="s">
        <v>44</v>
      </c>
      <c r="F114" s="20"/>
      <c r="G114" s="29">
        <v>1.5</v>
      </c>
      <c r="H114" s="29">
        <v>1.5</v>
      </c>
      <c r="I114" s="29">
        <v>1.5</v>
      </c>
      <c r="J114" s="29">
        <v>1.5</v>
      </c>
      <c r="K114" s="29">
        <v>1.5</v>
      </c>
      <c r="L114" s="29">
        <v>1.5</v>
      </c>
      <c r="M114" s="29">
        <v>1.5</v>
      </c>
      <c r="N114" s="29">
        <v>1.5</v>
      </c>
      <c r="O114" s="29">
        <v>1.5</v>
      </c>
      <c r="P114" s="29">
        <v>1.5</v>
      </c>
      <c r="Q114" s="29">
        <v>1.5</v>
      </c>
      <c r="R114" s="29">
        <v>1.5</v>
      </c>
      <c r="S114" s="29">
        <v>1.5</v>
      </c>
      <c r="T114" s="29">
        <v>1.5</v>
      </c>
      <c r="U114" s="33">
        <v>0.0</v>
      </c>
      <c r="V114" s="29">
        <v>0.0</v>
      </c>
      <c r="W114" s="29">
        <v>0.0</v>
      </c>
      <c r="X114" s="29">
        <v>0.0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ht="16.5" customHeight="1">
      <c r="A115" s="30"/>
      <c r="B115" s="34"/>
      <c r="C115" s="26" t="s">
        <v>119</v>
      </c>
      <c r="D115" s="20"/>
      <c r="E115" s="26" t="s">
        <v>44</v>
      </c>
      <c r="F115" s="20"/>
      <c r="G115" s="29">
        <v>0.5</v>
      </c>
      <c r="H115" s="29">
        <v>0.5</v>
      </c>
      <c r="I115" s="29">
        <v>0.5</v>
      </c>
      <c r="J115" s="29">
        <v>0.5</v>
      </c>
      <c r="K115" s="29">
        <v>0.5</v>
      </c>
      <c r="L115" s="29">
        <v>0.5</v>
      </c>
      <c r="M115" s="29">
        <v>0.5</v>
      </c>
      <c r="N115" s="29">
        <v>0.5</v>
      </c>
      <c r="O115" s="29">
        <v>0.5</v>
      </c>
      <c r="P115" s="29">
        <v>0.5</v>
      </c>
      <c r="Q115" s="29">
        <v>0.5</v>
      </c>
      <c r="R115" s="29">
        <v>0.5</v>
      </c>
      <c r="S115" s="29">
        <v>0.5</v>
      </c>
      <c r="T115" s="29">
        <v>0.5</v>
      </c>
      <c r="U115" s="29">
        <v>0.5</v>
      </c>
      <c r="V115" s="33">
        <v>0.0</v>
      </c>
      <c r="W115" s="29">
        <v>0.0</v>
      </c>
      <c r="X115" s="29">
        <v>0.0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16.5" customHeight="1">
      <c r="A116" s="30"/>
      <c r="B116" s="34"/>
      <c r="C116" s="26" t="s">
        <v>120</v>
      </c>
      <c r="D116" s="20"/>
      <c r="E116" s="26" t="s">
        <v>44</v>
      </c>
      <c r="F116" s="20"/>
      <c r="G116" s="29">
        <v>0.5</v>
      </c>
      <c r="H116" s="29">
        <v>0.5</v>
      </c>
      <c r="I116" s="29">
        <v>0.5</v>
      </c>
      <c r="J116" s="29">
        <v>0.5</v>
      </c>
      <c r="K116" s="29">
        <v>0.5</v>
      </c>
      <c r="L116" s="29">
        <v>0.5</v>
      </c>
      <c r="M116" s="29">
        <v>0.5</v>
      </c>
      <c r="N116" s="29">
        <v>0.5</v>
      </c>
      <c r="O116" s="29">
        <v>0.5</v>
      </c>
      <c r="P116" s="29">
        <v>0.5</v>
      </c>
      <c r="Q116" s="29">
        <v>0.5</v>
      </c>
      <c r="R116" s="29">
        <v>0.5</v>
      </c>
      <c r="S116" s="29">
        <v>0.5</v>
      </c>
      <c r="T116" s="29">
        <v>0.5</v>
      </c>
      <c r="U116" s="29">
        <v>0.5</v>
      </c>
      <c r="V116" s="33">
        <v>0.0</v>
      </c>
      <c r="W116" s="29">
        <v>0.0</v>
      </c>
      <c r="X116" s="29">
        <v>0.0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ht="16.5" customHeight="1">
      <c r="A117" s="30"/>
      <c r="B117" s="34"/>
      <c r="C117" s="26" t="s">
        <v>121</v>
      </c>
      <c r="D117" s="20"/>
      <c r="E117" s="26" t="s">
        <v>44</v>
      </c>
      <c r="F117" s="20"/>
      <c r="G117" s="29">
        <v>0.5</v>
      </c>
      <c r="H117" s="29">
        <v>0.5</v>
      </c>
      <c r="I117" s="29">
        <v>0.5</v>
      </c>
      <c r="J117" s="29">
        <v>0.5</v>
      </c>
      <c r="K117" s="29">
        <v>0.5</v>
      </c>
      <c r="L117" s="29">
        <v>0.5</v>
      </c>
      <c r="M117" s="29">
        <v>0.5</v>
      </c>
      <c r="N117" s="29">
        <v>0.5</v>
      </c>
      <c r="O117" s="29">
        <v>0.5</v>
      </c>
      <c r="P117" s="29">
        <v>0.5</v>
      </c>
      <c r="Q117" s="29">
        <v>0.5</v>
      </c>
      <c r="R117" s="29">
        <v>0.5</v>
      </c>
      <c r="S117" s="29">
        <v>0.5</v>
      </c>
      <c r="T117" s="29">
        <v>0.5</v>
      </c>
      <c r="U117" s="29">
        <v>0.5</v>
      </c>
      <c r="V117" s="33">
        <v>0.0</v>
      </c>
      <c r="W117" s="29">
        <v>0.0</v>
      </c>
      <c r="X117" s="29">
        <v>0.0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16.5" customHeight="1">
      <c r="A118" s="30"/>
      <c r="B118" s="34"/>
      <c r="C118" s="26" t="s">
        <v>122</v>
      </c>
      <c r="D118" s="20"/>
      <c r="E118" s="26" t="s">
        <v>44</v>
      </c>
      <c r="F118" s="20"/>
      <c r="G118" s="29">
        <v>0.5</v>
      </c>
      <c r="H118" s="29">
        <v>0.5</v>
      </c>
      <c r="I118" s="29">
        <v>0.5</v>
      </c>
      <c r="J118" s="29">
        <v>0.5</v>
      </c>
      <c r="K118" s="29">
        <v>0.5</v>
      </c>
      <c r="L118" s="29">
        <v>0.5</v>
      </c>
      <c r="M118" s="29">
        <v>0.5</v>
      </c>
      <c r="N118" s="29">
        <v>0.5</v>
      </c>
      <c r="O118" s="29">
        <v>0.5</v>
      </c>
      <c r="P118" s="29">
        <v>0.5</v>
      </c>
      <c r="Q118" s="29">
        <v>0.5</v>
      </c>
      <c r="R118" s="29">
        <v>0.5</v>
      </c>
      <c r="S118" s="29">
        <v>0.5</v>
      </c>
      <c r="T118" s="29">
        <v>0.5</v>
      </c>
      <c r="U118" s="29">
        <v>0.5</v>
      </c>
      <c r="V118" s="33">
        <v>0.0</v>
      </c>
      <c r="W118" s="29">
        <v>0.0</v>
      </c>
      <c r="X118" s="29">
        <v>0.0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6.5" customHeight="1">
      <c r="A119" s="30"/>
      <c r="B119" s="34"/>
      <c r="C119" s="26" t="s">
        <v>123</v>
      </c>
      <c r="D119" s="20"/>
      <c r="E119" s="26" t="s">
        <v>44</v>
      </c>
      <c r="F119" s="20"/>
      <c r="G119" s="29">
        <v>0.5</v>
      </c>
      <c r="H119" s="29">
        <v>0.5</v>
      </c>
      <c r="I119" s="29">
        <v>0.5</v>
      </c>
      <c r="J119" s="29">
        <v>0.5</v>
      </c>
      <c r="K119" s="29">
        <v>0.5</v>
      </c>
      <c r="L119" s="29">
        <v>0.5</v>
      </c>
      <c r="M119" s="29">
        <v>0.5</v>
      </c>
      <c r="N119" s="29">
        <v>0.5</v>
      </c>
      <c r="O119" s="29">
        <v>0.5</v>
      </c>
      <c r="P119" s="29">
        <v>0.5</v>
      </c>
      <c r="Q119" s="29">
        <v>0.5</v>
      </c>
      <c r="R119" s="29">
        <v>0.5</v>
      </c>
      <c r="S119" s="29">
        <v>0.5</v>
      </c>
      <c r="T119" s="29">
        <v>0.5</v>
      </c>
      <c r="U119" s="29">
        <v>0.5</v>
      </c>
      <c r="V119" s="33">
        <v>0.0</v>
      </c>
      <c r="W119" s="29">
        <v>0.0</v>
      </c>
      <c r="X119" s="29">
        <v>0.0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16.5" customHeight="1">
      <c r="A120" s="30"/>
      <c r="B120" s="34"/>
      <c r="C120" s="26" t="s">
        <v>124</v>
      </c>
      <c r="D120" s="20"/>
      <c r="E120" s="26" t="s">
        <v>44</v>
      </c>
      <c r="F120" s="20"/>
      <c r="G120" s="29">
        <v>1.0</v>
      </c>
      <c r="H120" s="29">
        <v>1.0</v>
      </c>
      <c r="I120" s="29">
        <v>1.0</v>
      </c>
      <c r="J120" s="29">
        <v>1.0</v>
      </c>
      <c r="K120" s="29">
        <v>1.0</v>
      </c>
      <c r="L120" s="29">
        <v>1.0</v>
      </c>
      <c r="M120" s="29">
        <v>1.0</v>
      </c>
      <c r="N120" s="29">
        <v>1.0</v>
      </c>
      <c r="O120" s="29">
        <v>1.0</v>
      </c>
      <c r="P120" s="29">
        <v>1.0</v>
      </c>
      <c r="Q120" s="29">
        <v>1.0</v>
      </c>
      <c r="R120" s="29">
        <v>1.0</v>
      </c>
      <c r="S120" s="29">
        <v>1.0</v>
      </c>
      <c r="T120" s="29">
        <v>1.0</v>
      </c>
      <c r="U120" s="29">
        <v>1.0</v>
      </c>
      <c r="V120" s="33">
        <v>0.0</v>
      </c>
      <c r="W120" s="29">
        <v>0.0</v>
      </c>
      <c r="X120" s="29">
        <v>0.0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ht="16.5" customHeight="1">
      <c r="A121" s="30"/>
      <c r="B121" s="36"/>
      <c r="C121" s="26" t="s">
        <v>125</v>
      </c>
      <c r="D121" s="20"/>
      <c r="E121" s="26" t="s">
        <v>44</v>
      </c>
      <c r="F121" s="20"/>
      <c r="G121" s="29">
        <v>0.5</v>
      </c>
      <c r="H121" s="29">
        <v>0.5</v>
      </c>
      <c r="I121" s="29">
        <v>0.5</v>
      </c>
      <c r="J121" s="29">
        <v>0.5</v>
      </c>
      <c r="K121" s="29">
        <v>0.5</v>
      </c>
      <c r="L121" s="29">
        <v>0.5</v>
      </c>
      <c r="M121" s="29">
        <v>0.5</v>
      </c>
      <c r="N121" s="29">
        <v>0.5</v>
      </c>
      <c r="O121" s="29">
        <v>0.5</v>
      </c>
      <c r="P121" s="29">
        <v>0.5</v>
      </c>
      <c r="Q121" s="29">
        <v>0.5</v>
      </c>
      <c r="R121" s="29">
        <v>0.5</v>
      </c>
      <c r="S121" s="29">
        <v>0.5</v>
      </c>
      <c r="T121" s="29">
        <v>0.5</v>
      </c>
      <c r="U121" s="29">
        <v>0.5</v>
      </c>
      <c r="V121" s="33">
        <v>0.0</v>
      </c>
      <c r="W121" s="29">
        <v>0.0</v>
      </c>
      <c r="X121" s="29">
        <v>0.0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6.5" customHeight="1">
      <c r="A122" s="30"/>
      <c r="B122" s="42" t="s">
        <v>126</v>
      </c>
      <c r="C122" s="26" t="s">
        <v>127</v>
      </c>
      <c r="D122" s="20"/>
      <c r="E122" s="26" t="s">
        <v>25</v>
      </c>
      <c r="F122" s="20"/>
      <c r="G122" s="29">
        <v>2.0</v>
      </c>
      <c r="H122" s="29">
        <v>2.0</v>
      </c>
      <c r="I122" s="29">
        <v>2.0</v>
      </c>
      <c r="J122" s="29">
        <v>2.0</v>
      </c>
      <c r="K122" s="29">
        <v>2.0</v>
      </c>
      <c r="L122" s="29">
        <v>2.0</v>
      </c>
      <c r="M122" s="29">
        <v>2.0</v>
      </c>
      <c r="N122" s="29">
        <v>2.0</v>
      </c>
      <c r="O122" s="29">
        <v>2.0</v>
      </c>
      <c r="P122" s="29">
        <v>2.0</v>
      </c>
      <c r="Q122" s="29">
        <v>2.0</v>
      </c>
      <c r="R122" s="29">
        <v>2.0</v>
      </c>
      <c r="S122" s="29">
        <v>2.0</v>
      </c>
      <c r="T122" s="29">
        <v>2.0</v>
      </c>
      <c r="U122" s="29">
        <v>2.0</v>
      </c>
      <c r="V122" s="29">
        <v>2.0</v>
      </c>
      <c r="W122" s="29">
        <v>2.0</v>
      </c>
      <c r="X122" s="33">
        <v>0.0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ht="16.5" customHeight="1">
      <c r="A123" s="30"/>
      <c r="B123" s="36"/>
      <c r="C123" s="26" t="s">
        <v>128</v>
      </c>
      <c r="D123" s="20"/>
      <c r="E123" s="26" t="s">
        <v>25</v>
      </c>
      <c r="F123" s="20"/>
      <c r="G123" s="29">
        <v>2.0</v>
      </c>
      <c r="H123" s="29">
        <v>2.0</v>
      </c>
      <c r="I123" s="29">
        <v>2.0</v>
      </c>
      <c r="J123" s="29">
        <v>2.0</v>
      </c>
      <c r="K123" s="29">
        <v>2.0</v>
      </c>
      <c r="L123" s="29">
        <v>2.0</v>
      </c>
      <c r="M123" s="29">
        <v>2.0</v>
      </c>
      <c r="N123" s="29">
        <v>2.0</v>
      </c>
      <c r="O123" s="29">
        <v>2.0</v>
      </c>
      <c r="P123" s="29">
        <v>2.0</v>
      </c>
      <c r="Q123" s="29">
        <v>2.0</v>
      </c>
      <c r="R123" s="29">
        <v>2.0</v>
      </c>
      <c r="S123" s="29">
        <v>2.0</v>
      </c>
      <c r="T123" s="29">
        <v>2.0</v>
      </c>
      <c r="U123" s="29">
        <v>2.0</v>
      </c>
      <c r="V123" s="29">
        <v>2.0</v>
      </c>
      <c r="W123" s="29">
        <v>2.0</v>
      </c>
      <c r="X123" s="33">
        <v>0.0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ht="16.5" customHeight="1">
      <c r="A124" s="30"/>
      <c r="B124" s="43" t="s">
        <v>19</v>
      </c>
      <c r="C124" s="44"/>
      <c r="D124" s="45"/>
      <c r="E124" s="46" t="s">
        <v>129</v>
      </c>
      <c r="F124" s="20"/>
      <c r="G124" s="28">
        <f>SUM(G16:G123)</f>
        <v>149</v>
      </c>
      <c r="H124" s="20"/>
      <c r="I124" s="29">
        <f>SUM(I16:I123)-J19</f>
        <v>147</v>
      </c>
      <c r="J124" s="29">
        <f>SUM(J16:J123)</f>
        <v>142</v>
      </c>
      <c r="K124" s="29">
        <f>SUM(K16:K123)+L31</f>
        <v>133</v>
      </c>
      <c r="L124" s="29">
        <f>SUM(L16:L123)-M37</f>
        <v>125</v>
      </c>
      <c r="M124" s="29">
        <f t="shared" ref="M124:N124" si="2">SUM(M16:M123)</f>
        <v>118</v>
      </c>
      <c r="N124" s="29">
        <f t="shared" si="2"/>
        <v>104</v>
      </c>
      <c r="O124" s="29">
        <f>SUM(O16:O123)+P61-P64</f>
        <v>93</v>
      </c>
      <c r="P124" s="29">
        <f>SUM(P16:P123)-P64+P61</f>
        <v>82</v>
      </c>
      <c r="Q124" s="29">
        <f>SUM(Q16:Q123)+Q69</f>
        <v>65</v>
      </c>
      <c r="R124" s="29">
        <f>SUM(R16:R123)-S93</f>
        <v>46</v>
      </c>
      <c r="S124" s="29">
        <f>SUM(S16:S123)-S93</f>
        <v>27</v>
      </c>
      <c r="T124" s="29">
        <f t="shared" ref="T124:X124" si="3">SUM(T16:T123)</f>
        <v>12</v>
      </c>
      <c r="U124" s="29">
        <f t="shared" si="3"/>
        <v>8</v>
      </c>
      <c r="V124" s="29">
        <f t="shared" si="3"/>
        <v>4</v>
      </c>
      <c r="W124" s="29">
        <f t="shared" si="3"/>
        <v>4</v>
      </c>
      <c r="X124" s="29">
        <f t="shared" si="3"/>
        <v>0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ht="16.5" customHeight="1">
      <c r="A125" s="30"/>
      <c r="B125" s="47"/>
      <c r="C125" s="48"/>
      <c r="D125" s="49"/>
      <c r="E125" s="46" t="s">
        <v>130</v>
      </c>
      <c r="F125" s="20"/>
      <c r="G125" s="28">
        <f>SUM(H16:H123)</f>
        <v>150</v>
      </c>
      <c r="H125" s="20"/>
      <c r="I125" s="29">
        <f t="shared" ref="I125:X125" si="4">SUM(I16:I123)</f>
        <v>150</v>
      </c>
      <c r="J125" s="29">
        <f t="shared" si="4"/>
        <v>142</v>
      </c>
      <c r="K125" s="29">
        <f t="shared" si="4"/>
        <v>131</v>
      </c>
      <c r="L125" s="29">
        <f t="shared" si="4"/>
        <v>126</v>
      </c>
      <c r="M125" s="29">
        <f t="shared" si="4"/>
        <v>118</v>
      </c>
      <c r="N125" s="29">
        <f t="shared" si="4"/>
        <v>104</v>
      </c>
      <c r="O125" s="29">
        <f t="shared" si="4"/>
        <v>92</v>
      </c>
      <c r="P125" s="29">
        <f t="shared" si="4"/>
        <v>81</v>
      </c>
      <c r="Q125" s="29">
        <f t="shared" si="4"/>
        <v>64</v>
      </c>
      <c r="R125" s="29">
        <f t="shared" si="4"/>
        <v>47</v>
      </c>
      <c r="S125" s="29">
        <f t="shared" si="4"/>
        <v>28</v>
      </c>
      <c r="T125" s="29">
        <f t="shared" si="4"/>
        <v>12</v>
      </c>
      <c r="U125" s="29">
        <f t="shared" si="4"/>
        <v>8</v>
      </c>
      <c r="V125" s="29">
        <f t="shared" si="4"/>
        <v>4</v>
      </c>
      <c r="W125" s="29">
        <f t="shared" si="4"/>
        <v>4</v>
      </c>
      <c r="X125" s="29">
        <f t="shared" si="4"/>
        <v>0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</sheetData>
  <mergeCells count="237"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  <mergeCell ref="C41:D41"/>
    <mergeCell ref="C42:D42"/>
    <mergeCell ref="C38:D38"/>
    <mergeCell ref="E38:F38"/>
    <mergeCell ref="C39:D39"/>
    <mergeCell ref="E39:F39"/>
    <mergeCell ref="C40:D40"/>
    <mergeCell ref="E40:F40"/>
    <mergeCell ref="E41:F41"/>
    <mergeCell ref="E42:F42"/>
    <mergeCell ref="C50:D50"/>
    <mergeCell ref="C51:D51"/>
    <mergeCell ref="C52:D52"/>
    <mergeCell ref="C47:D47"/>
    <mergeCell ref="E47:F47"/>
    <mergeCell ref="C48:D48"/>
    <mergeCell ref="E48:F48"/>
    <mergeCell ref="C49:D49"/>
    <mergeCell ref="E49:F49"/>
    <mergeCell ref="E50:F50"/>
    <mergeCell ref="C55:D55"/>
    <mergeCell ref="C56:D56"/>
    <mergeCell ref="C57:D57"/>
    <mergeCell ref="E51:F51"/>
    <mergeCell ref="E52:F52"/>
    <mergeCell ref="C53:D53"/>
    <mergeCell ref="E53:F53"/>
    <mergeCell ref="C54:D54"/>
    <mergeCell ref="E54:F54"/>
    <mergeCell ref="E55:F55"/>
    <mergeCell ref="C60:D60"/>
    <mergeCell ref="C61:D61"/>
    <mergeCell ref="C62:D62"/>
    <mergeCell ref="E56:F56"/>
    <mergeCell ref="E57:F57"/>
    <mergeCell ref="C58:D58"/>
    <mergeCell ref="E58:F58"/>
    <mergeCell ref="C59:D59"/>
    <mergeCell ref="E59:F59"/>
    <mergeCell ref="E60:F60"/>
    <mergeCell ref="C65:D65"/>
    <mergeCell ref="C66:D66"/>
    <mergeCell ref="C67:D67"/>
    <mergeCell ref="E61:F61"/>
    <mergeCell ref="E62:F62"/>
    <mergeCell ref="C63:D63"/>
    <mergeCell ref="E63:F63"/>
    <mergeCell ref="C64:D64"/>
    <mergeCell ref="E64:F64"/>
    <mergeCell ref="E65:F65"/>
    <mergeCell ref="C70:D70"/>
    <mergeCell ref="C71:D71"/>
    <mergeCell ref="C72:D72"/>
    <mergeCell ref="E66:F66"/>
    <mergeCell ref="E67:F67"/>
    <mergeCell ref="C68:D68"/>
    <mergeCell ref="E68:F68"/>
    <mergeCell ref="C69:D69"/>
    <mergeCell ref="E69:F69"/>
    <mergeCell ref="E70:F70"/>
    <mergeCell ref="C33:D33"/>
    <mergeCell ref="C34:D34"/>
    <mergeCell ref="C35:D35"/>
    <mergeCell ref="C36:D36"/>
    <mergeCell ref="E36:F36"/>
    <mergeCell ref="C37:D37"/>
    <mergeCell ref="E37:F37"/>
    <mergeCell ref="E43:F43"/>
    <mergeCell ref="C43:D43"/>
    <mergeCell ref="C44:D44"/>
    <mergeCell ref="E44:F44"/>
    <mergeCell ref="C45:D45"/>
    <mergeCell ref="E45:F45"/>
    <mergeCell ref="C46:D46"/>
    <mergeCell ref="E46:F46"/>
    <mergeCell ref="C110:D110"/>
    <mergeCell ref="C111:D111"/>
    <mergeCell ref="C112:D112"/>
    <mergeCell ref="E106:F106"/>
    <mergeCell ref="E107:F107"/>
    <mergeCell ref="C108:D108"/>
    <mergeCell ref="E108:F108"/>
    <mergeCell ref="C109:D109"/>
    <mergeCell ref="E109:F109"/>
    <mergeCell ref="E110:F110"/>
    <mergeCell ref="C115:D115"/>
    <mergeCell ref="C116:D116"/>
    <mergeCell ref="C117:D117"/>
    <mergeCell ref="E111:F111"/>
    <mergeCell ref="E112:F112"/>
    <mergeCell ref="C113:D113"/>
    <mergeCell ref="E113:F113"/>
    <mergeCell ref="C114:D114"/>
    <mergeCell ref="E114:F114"/>
    <mergeCell ref="E115:F115"/>
    <mergeCell ref="B110:B121"/>
    <mergeCell ref="B122:B123"/>
    <mergeCell ref="A4:B4"/>
    <mergeCell ref="A16:A125"/>
    <mergeCell ref="B20:B32"/>
    <mergeCell ref="B33:B45"/>
    <mergeCell ref="B46:B84"/>
    <mergeCell ref="B85:B97"/>
    <mergeCell ref="B98:B109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C27:D27"/>
    <mergeCell ref="C28:D28"/>
    <mergeCell ref="C29:D29"/>
    <mergeCell ref="C30:D30"/>
    <mergeCell ref="C31:D31"/>
    <mergeCell ref="C32:D32"/>
    <mergeCell ref="C120:D120"/>
    <mergeCell ref="C121:D121"/>
    <mergeCell ref="C122:D122"/>
    <mergeCell ref="C123:D123"/>
    <mergeCell ref="B124:D125"/>
    <mergeCell ref="E121:F121"/>
    <mergeCell ref="E122:F122"/>
    <mergeCell ref="E123:F123"/>
    <mergeCell ref="E124:F124"/>
    <mergeCell ref="E125:F125"/>
    <mergeCell ref="E116:F116"/>
    <mergeCell ref="E117:F117"/>
    <mergeCell ref="C118:D118"/>
    <mergeCell ref="E118:F118"/>
    <mergeCell ref="C119:D119"/>
    <mergeCell ref="E119:F119"/>
    <mergeCell ref="E120:F120"/>
    <mergeCell ref="C75:D75"/>
    <mergeCell ref="C76:D76"/>
    <mergeCell ref="C77:D77"/>
    <mergeCell ref="E71:F71"/>
    <mergeCell ref="E72:F72"/>
    <mergeCell ref="C73:D73"/>
    <mergeCell ref="E73:F73"/>
    <mergeCell ref="C74:D74"/>
    <mergeCell ref="E74:F74"/>
    <mergeCell ref="E75:F75"/>
    <mergeCell ref="C80:D80"/>
    <mergeCell ref="C81:D81"/>
    <mergeCell ref="C82:D82"/>
    <mergeCell ref="E76:F76"/>
    <mergeCell ref="E77:F77"/>
    <mergeCell ref="C78:D78"/>
    <mergeCell ref="E78:F78"/>
    <mergeCell ref="C79:D79"/>
    <mergeCell ref="E79:F79"/>
    <mergeCell ref="E80:F80"/>
    <mergeCell ref="C85:D85"/>
    <mergeCell ref="C86:D86"/>
    <mergeCell ref="C87:D87"/>
    <mergeCell ref="E81:F81"/>
    <mergeCell ref="E82:F82"/>
    <mergeCell ref="C83:D83"/>
    <mergeCell ref="E83:F83"/>
    <mergeCell ref="C84:D84"/>
    <mergeCell ref="E84:F84"/>
    <mergeCell ref="E85:F85"/>
    <mergeCell ref="C90:D90"/>
    <mergeCell ref="C91:D91"/>
    <mergeCell ref="C92:D92"/>
    <mergeCell ref="E86:F86"/>
    <mergeCell ref="E87:F87"/>
    <mergeCell ref="C88:D88"/>
    <mergeCell ref="E88:F88"/>
    <mergeCell ref="C89:D89"/>
    <mergeCell ref="E89:F89"/>
    <mergeCell ref="E90:F90"/>
    <mergeCell ref="C95:D95"/>
    <mergeCell ref="C96:D96"/>
    <mergeCell ref="C97:D97"/>
    <mergeCell ref="E91:F91"/>
    <mergeCell ref="E92:F92"/>
    <mergeCell ref="C93:D93"/>
    <mergeCell ref="E93:F93"/>
    <mergeCell ref="C94:D94"/>
    <mergeCell ref="E94:F94"/>
    <mergeCell ref="E95:F95"/>
    <mergeCell ref="C100:D100"/>
    <mergeCell ref="C101:D101"/>
    <mergeCell ref="C102:D102"/>
    <mergeCell ref="E96:F96"/>
    <mergeCell ref="E97:F97"/>
    <mergeCell ref="C98:D98"/>
    <mergeCell ref="E98:F98"/>
    <mergeCell ref="C99:D99"/>
    <mergeCell ref="E99:F99"/>
    <mergeCell ref="E100:F100"/>
    <mergeCell ref="C105:D105"/>
    <mergeCell ref="C106:D106"/>
    <mergeCell ref="C107:D107"/>
    <mergeCell ref="G124:H124"/>
    <mergeCell ref="G125:H125"/>
    <mergeCell ref="E101:F101"/>
    <mergeCell ref="E102:F102"/>
    <mergeCell ref="C103:D103"/>
    <mergeCell ref="E103:F103"/>
    <mergeCell ref="C104:D104"/>
    <mergeCell ref="E104:F104"/>
    <mergeCell ref="E105:F10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1" width="10.0"/>
    <col customWidth="1" min="12" max="26" width="8.71"/>
  </cols>
  <sheetData>
    <row r="1" ht="14.25" customHeight="1">
      <c r="A1" s="62" t="s">
        <v>174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ht="14.25" customHeight="1">
      <c r="A2" s="65"/>
      <c r="B2" s="66" t="s">
        <v>27</v>
      </c>
      <c r="C2" s="20"/>
      <c r="D2" s="66" t="s">
        <v>46</v>
      </c>
      <c r="E2" s="20"/>
      <c r="F2" s="66" t="s">
        <v>44</v>
      </c>
      <c r="G2" s="20"/>
      <c r="H2" s="66" t="s">
        <v>45</v>
      </c>
      <c r="I2" s="20"/>
      <c r="J2" s="66" t="s">
        <v>104</v>
      </c>
      <c r="K2" s="67"/>
    </row>
    <row r="3" ht="14.25" customHeight="1">
      <c r="A3" s="68"/>
      <c r="B3" s="69" t="s">
        <v>12</v>
      </c>
      <c r="C3" s="69" t="s">
        <v>13</v>
      </c>
      <c r="D3" s="69" t="s">
        <v>12</v>
      </c>
      <c r="E3" s="69" t="s">
        <v>13</v>
      </c>
      <c r="F3" s="69" t="s">
        <v>12</v>
      </c>
      <c r="G3" s="69" t="s">
        <v>13</v>
      </c>
      <c r="H3" s="69" t="s">
        <v>12</v>
      </c>
      <c r="I3" s="69" t="s">
        <v>13</v>
      </c>
      <c r="J3" s="69" t="s">
        <v>12</v>
      </c>
      <c r="K3" s="70" t="s">
        <v>13</v>
      </c>
    </row>
    <row r="4" ht="14.25" customHeight="1">
      <c r="A4" s="71" t="s">
        <v>4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ht="14.25" customHeight="1">
      <c r="A5" s="71" t="s">
        <v>131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ht="14.25" customHeight="1">
      <c r="A6" s="71" t="s">
        <v>175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7" ht="14.25" customHeight="1">
      <c r="A7" s="73" t="s">
        <v>19</v>
      </c>
      <c r="B7" s="74">
        <f t="shared" ref="B7:K7" si="1">SUM(B4:B6)</f>
        <v>0</v>
      </c>
      <c r="C7" s="74">
        <f t="shared" si="1"/>
        <v>0</v>
      </c>
      <c r="D7" s="74">
        <f t="shared" si="1"/>
        <v>0</v>
      </c>
      <c r="E7" s="74">
        <f t="shared" si="1"/>
        <v>0</v>
      </c>
      <c r="F7" s="74">
        <f t="shared" si="1"/>
        <v>0</v>
      </c>
      <c r="G7" s="74">
        <f t="shared" si="1"/>
        <v>0</v>
      </c>
      <c r="H7" s="74">
        <f t="shared" si="1"/>
        <v>0</v>
      </c>
      <c r="I7" s="74">
        <f t="shared" si="1"/>
        <v>0</v>
      </c>
      <c r="J7" s="74">
        <f t="shared" si="1"/>
        <v>0</v>
      </c>
      <c r="K7" s="74">
        <f t="shared" si="1"/>
        <v>0</v>
      </c>
    </row>
    <row r="8" ht="14.25" customHeight="1"/>
    <row r="9" ht="14.25" customHeight="1"/>
    <row r="10" ht="14.25" customHeight="1">
      <c r="E10" s="75" t="s">
        <v>176</v>
      </c>
      <c r="F10" s="64"/>
    </row>
    <row r="11" ht="14.25" customHeight="1">
      <c r="E11" s="76" t="s">
        <v>12</v>
      </c>
      <c r="F11" s="77">
        <f>SUMIF($B$3:$K$3,"Thực tế",$B$7:$K$7)</f>
        <v>0</v>
      </c>
    </row>
    <row r="12" ht="14.25" customHeight="1">
      <c r="E12" s="78" t="s">
        <v>13</v>
      </c>
      <c r="F12" s="79">
        <f>SUMIF($B$3:$K$3,"Ước tính",$B$7:$K$7)</f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2021-04-23T08:05:10Z</dcterms:created>
  <dc:creator>Windows User</dc:creator>
</cp:coreProperties>
</file>